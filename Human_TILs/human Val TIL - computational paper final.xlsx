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2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ky-my.sharepoint.com/personal/drpl222_uky_edu/Documents/Informatics Paper -DP/GitHub files/Human_TILs/"/>
    </mc:Choice>
  </mc:AlternateContent>
  <xr:revisionPtr revIDLastSave="1" documentId="8_{81E2684D-C1CE-4A96-977E-40CFC6A2F065}" xr6:coauthVersionLast="47" xr6:coauthVersionMax="47" xr10:uidLastSave="{D75F3037-5D49-4BC9-83CF-E4817B21559C}"/>
  <bookViews>
    <workbookView xWindow="-28920" yWindow="-120" windowWidth="29040" windowHeight="15720" activeTab="2" xr2:uid="{1F62417D-3748-4D7A-9D95-D5661BD052A3}"/>
  </bookViews>
  <sheets>
    <sheet name="Allo-React" sheetId="2" r:id="rId1"/>
    <sheet name="Auto-react" sheetId="4" r:id="rId2"/>
    <sheet name="Flow-cleaned" sheetId="6" r:id="rId3"/>
  </sheets>
  <externalReferences>
    <externalReference r:id="rId4"/>
  </externalReferences>
  <definedNames>
    <definedName name="_xlchart.v1.0" hidden="1">'Allo-React'!$B$33:$B$41</definedName>
    <definedName name="_xlchart.v1.1" hidden="1">'Allo-React'!$C$33:$C$41</definedName>
    <definedName name="_xlchart.v1.10" hidden="1">'Auto-react'!$AC$2</definedName>
    <definedName name="_xlchart.v1.11" hidden="1">'Auto-react'!$AC$3:$AC$8</definedName>
    <definedName name="_xlchart.v1.12" hidden="1">'Auto-react'!$Z$2</definedName>
    <definedName name="_xlchart.v1.13" hidden="1">'Auto-react'!$Z$3:$Z$8</definedName>
    <definedName name="_xlchart.v1.14" hidden="1">'Auto-react'!$V$3:$V$8</definedName>
    <definedName name="_xlchart.v1.15" hidden="1">'Auto-react'!$W$3:$W$8</definedName>
    <definedName name="_xlchart.v1.16" hidden="1">'Auto-react'!$P$2</definedName>
    <definedName name="_xlchart.v1.17" hidden="1">'Auto-react'!$P$3:$P$14</definedName>
    <definedName name="_xlchart.v1.18" hidden="1">'Auto-react'!$Q$2</definedName>
    <definedName name="_xlchart.v1.19" hidden="1">'Auto-react'!$Q$3:$Q$14</definedName>
    <definedName name="_xlchart.v1.2" hidden="1">'Allo-React'!$B$33:$B$50</definedName>
    <definedName name="_xlchart.v1.20" hidden="1">'Auto-react'!$R$2</definedName>
    <definedName name="_xlchart.v1.21" hidden="1">'Auto-react'!$R$3:$R$14</definedName>
    <definedName name="_xlchart.v1.22" hidden="1">'Auto-react'!$S$2</definedName>
    <definedName name="_xlchart.v1.23" hidden="1">'Auto-react'!$S$3:$S$14</definedName>
    <definedName name="_xlchart.v1.3" hidden="1">'Allo-React'!$C$33:$C$50</definedName>
    <definedName name="_xlchart.v1.4" hidden="1">'Allo-React'!$B$42:$B$50</definedName>
    <definedName name="_xlchart.v1.5" hidden="1">'Allo-React'!$C$42:$C$50</definedName>
    <definedName name="_xlchart.v1.6" hidden="1">'Auto-react'!$AA$2</definedName>
    <definedName name="_xlchart.v1.7" hidden="1">'Auto-react'!$AA$3:$AA$8</definedName>
    <definedName name="_xlchart.v1.8" hidden="1">'Auto-react'!$AB$2</definedName>
    <definedName name="_xlchart.v1.9" hidden="1">'Auto-react'!$AB$3:$AB$8</definedName>
    <definedName name="MethodPointer1">-1781731552</definedName>
    <definedName name="MethodPointer2">626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6" i="6" l="1"/>
  <c r="AC5" i="6"/>
  <c r="AD5" i="6"/>
  <c r="AE5" i="6"/>
  <c r="AF5" i="6"/>
  <c r="AH5" i="6"/>
  <c r="AC9" i="6"/>
  <c r="AD9" i="6"/>
  <c r="AE9" i="6"/>
  <c r="AF9" i="6"/>
  <c r="AH9" i="6"/>
  <c r="AC10" i="6"/>
  <c r="AD10" i="6"/>
  <c r="AE10" i="6"/>
  <c r="AF10" i="6"/>
  <c r="AH10" i="6"/>
  <c r="AC11" i="6"/>
  <c r="AD11" i="6"/>
  <c r="AE11" i="6"/>
  <c r="AF11" i="6"/>
  <c r="AH11" i="6"/>
  <c r="AC12" i="6"/>
  <c r="AD12" i="6"/>
  <c r="AE12" i="6"/>
  <c r="AF12" i="6"/>
  <c r="AH12" i="6"/>
  <c r="AC8" i="6"/>
  <c r="AD8" i="6"/>
  <c r="AE8" i="6"/>
  <c r="AF8" i="6"/>
  <c r="AH8" i="6"/>
  <c r="AC6" i="6"/>
  <c r="AD6" i="6"/>
  <c r="AE6" i="6"/>
  <c r="AF6" i="6"/>
  <c r="AH6" i="6"/>
  <c r="AC7" i="6"/>
  <c r="AD7" i="6"/>
  <c r="AE7" i="6"/>
  <c r="AF7" i="6"/>
  <c r="AH7" i="6"/>
  <c r="AC2" i="6"/>
  <c r="AD2" i="6"/>
  <c r="AE2" i="6"/>
  <c r="AF2" i="6"/>
  <c r="AH2" i="6"/>
  <c r="AC3" i="6"/>
  <c r="AD3" i="6"/>
  <c r="AE3" i="6"/>
  <c r="AF3" i="6"/>
  <c r="AH3" i="6"/>
  <c r="B4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C13" i="6"/>
  <c r="AD13" i="6"/>
  <c r="AE13" i="6"/>
  <c r="AF13" i="6"/>
  <c r="AH13" i="6"/>
  <c r="AC14" i="6"/>
  <c r="AD14" i="6"/>
  <c r="AE14" i="6"/>
  <c r="AF14" i="6"/>
  <c r="AH14" i="6"/>
  <c r="AC15" i="6"/>
  <c r="AD15" i="6"/>
  <c r="AE15" i="6"/>
  <c r="AF15" i="6"/>
  <c r="AH15" i="6"/>
  <c r="AC16" i="6"/>
  <c r="AD16" i="6"/>
  <c r="AE16" i="6"/>
  <c r="AF16" i="6"/>
  <c r="AC17" i="6"/>
  <c r="AD17" i="6"/>
  <c r="AE17" i="6"/>
  <c r="AF17" i="6"/>
  <c r="AH17" i="6"/>
  <c r="AC18" i="6"/>
  <c r="AD18" i="6"/>
  <c r="AE18" i="6"/>
  <c r="AF18" i="6"/>
  <c r="AH18" i="6"/>
  <c r="AC19" i="6"/>
  <c r="AD19" i="6"/>
  <c r="AE19" i="6"/>
  <c r="AF19" i="6"/>
  <c r="AH19" i="6"/>
  <c r="AC20" i="6"/>
  <c r="AD20" i="6"/>
  <c r="AE20" i="6"/>
  <c r="AF20" i="6"/>
  <c r="AH20" i="6"/>
  <c r="V11" i="4"/>
  <c r="T14" i="4"/>
  <c r="Z11" i="4"/>
  <c r="AH4" i="6" l="1"/>
  <c r="AC4" i="6"/>
  <c r="AF4" i="6"/>
  <c r="AD4" i="6"/>
  <c r="AE4" i="6"/>
  <c r="T17" i="2"/>
  <c r="U17" i="2"/>
  <c r="T16" i="2"/>
  <c r="U16" i="2"/>
  <c r="H16" i="2"/>
  <c r="N17" i="2"/>
  <c r="M17" i="2"/>
  <c r="L17" i="2"/>
  <c r="N16" i="2"/>
  <c r="M16" i="2"/>
  <c r="L16" i="2"/>
  <c r="E17" i="2"/>
  <c r="E16" i="2"/>
  <c r="R18" i="2" l="1"/>
  <c r="Q18" i="2"/>
  <c r="J18" i="2"/>
  <c r="I18" i="2"/>
  <c r="H18" i="2"/>
  <c r="J17" i="2"/>
  <c r="I17" i="2"/>
  <c r="H17" i="2"/>
  <c r="J16" i="2"/>
  <c r="I16" i="2"/>
  <c r="D16" i="2"/>
  <c r="D17" i="2"/>
  <c r="D18" i="2"/>
  <c r="Q16" i="2"/>
  <c r="Q17" i="2"/>
  <c r="R16" i="2"/>
  <c r="R17" i="2"/>
</calcChain>
</file>

<file path=xl/sharedStrings.xml><?xml version="1.0" encoding="utf-8"?>
<sst xmlns="http://schemas.openxmlformats.org/spreadsheetml/2006/main" count="118" uniqueCount="73">
  <si>
    <t>A</t>
  </si>
  <si>
    <t>B</t>
  </si>
  <si>
    <t>C</t>
  </si>
  <si>
    <t>Overall</t>
  </si>
  <si>
    <t>T test</t>
  </si>
  <si>
    <t>Val</t>
  </si>
  <si>
    <t>Veh</t>
  </si>
  <si>
    <t xml:space="preserve">Veh </t>
  </si>
  <si>
    <t>Cell Lines - overall</t>
  </si>
  <si>
    <t>CL #1</t>
  </si>
  <si>
    <t>CL #2</t>
  </si>
  <si>
    <t>CL #3</t>
  </si>
  <si>
    <t>Patient 1</t>
  </si>
  <si>
    <t>Patient 2</t>
  </si>
  <si>
    <t>Vehicle</t>
  </si>
  <si>
    <t>Valemetostat</t>
  </si>
  <si>
    <t>Pt 1</t>
  </si>
  <si>
    <t>Pt 2</t>
  </si>
  <si>
    <t>SEM</t>
  </si>
  <si>
    <t>Patients - overall</t>
  </si>
  <si>
    <t>Exposed</t>
  </si>
  <si>
    <t>Parental</t>
  </si>
  <si>
    <t>Concentrations</t>
  </si>
  <si>
    <t>E-MHC</t>
  </si>
  <si>
    <t>P-MHC</t>
  </si>
  <si>
    <t>Veh MHC Block</t>
  </si>
  <si>
    <t>Val 1</t>
  </si>
  <si>
    <t>Val 2</t>
  </si>
  <si>
    <t>Val - MHC Block</t>
  </si>
  <si>
    <t>Ratio CD8:4</t>
  </si>
  <si>
    <t>Cells/Single Cells/Live pt 2/NKT | Freq. of Parent (%)</t>
  </si>
  <si>
    <t>Cells/Single Cells/Live pt 2/NK cells | Freq. of Parent (%)</t>
  </si>
  <si>
    <t>Cells/Single Cells/Live pt 2/non-T | Freq. of Parent (%)</t>
  </si>
  <si>
    <t>SEM-Val</t>
  </si>
  <si>
    <t>SEM-Veh</t>
  </si>
  <si>
    <t>Veh 1</t>
  </si>
  <si>
    <t>Veh 2</t>
  </si>
  <si>
    <t>Veh 3</t>
  </si>
  <si>
    <t>Veh 4</t>
  </si>
  <si>
    <t>Veh 5</t>
  </si>
  <si>
    <t>Veh 6</t>
  </si>
  <si>
    <t>Veh 7</t>
  </si>
  <si>
    <t>Veh 8</t>
  </si>
  <si>
    <t>Veh 9</t>
  </si>
  <si>
    <t>Veh 10</t>
  </si>
  <si>
    <t>Veh 11</t>
  </si>
  <si>
    <t>Veh 12</t>
  </si>
  <si>
    <t>Val 3</t>
  </si>
  <si>
    <t>Val 4</t>
  </si>
  <si>
    <t>Val 5</t>
  </si>
  <si>
    <t>Val 6</t>
  </si>
  <si>
    <t>Val 7</t>
  </si>
  <si>
    <t>Val 8</t>
  </si>
  <si>
    <t>Val 9</t>
  </si>
  <si>
    <t>Val 10</t>
  </si>
  <si>
    <t>Val 11</t>
  </si>
  <si>
    <t>Val 12</t>
  </si>
  <si>
    <t>Gating</t>
  </si>
  <si>
    <t>Cells/Single Cells/Live pt 2/CD3+ (all)/CD4/Foxp3+, CD25+/CTLA-4+ (Treg) | Freq. of CD3+ (all) (%)</t>
  </si>
  <si>
    <t>Cells/Single Cells/Live pt 2/CD3+ (all)/Ki-67+, CD25+/CD69+, CD25+ (activated) | Freq. of CD3+ (all) (%)</t>
  </si>
  <si>
    <t>Cells/Single Cells/Live pt 2/CD3+ (all)/Q2 (Naive): CD62L+ , CD45RA+ (naive) | Freq. of Parent (%)</t>
  </si>
  <si>
    <t>Cells/Single Cells/Live pt 2/CD3+ (all)/Q3 (TCM): CD62L+ , CD45RA- (TCM) | Freq. of Parent (%)</t>
  </si>
  <si>
    <t>Cells/Single Cells/Live pt 2/CD3+ (all)/Q4 (TEM): CD62L- , CD45RA- (TEM) | Freq. of Parent (%)</t>
  </si>
  <si>
    <t>Cells/Single Cells/Live pt 2/CD3+ (all)/CD4 | Freq. of Parent (%)</t>
  </si>
  <si>
    <t>Cells/Single Cells/Live pt 2/CD3+ (all)/CD8 | Freq. of Parent (%)</t>
  </si>
  <si>
    <t>Cells/Single Cells/Live pt 2/CD3+ (all)/CD25+ | Freq. of Parent (%)</t>
  </si>
  <si>
    <t>Cells/Single Cells/Live pt 2/CD3+ (all)/CD27+ | Freq. of Parent (%)</t>
  </si>
  <si>
    <t>Cells/Single Cells/Live pt 2/CD3+ (all)/69+ | Freq. of Parent (%)</t>
  </si>
  <si>
    <t>Cells/Single Cells/Live pt 2/CD3+ (all)/Ki-67+ | Freq. of Parent (%)</t>
  </si>
  <si>
    <t>Cells/Single Cells/Live pt 2/CD3+ (all)/TCF1+ | Freq. of Parent (%)</t>
  </si>
  <si>
    <t>Cells/Single Cells/Live pt 2/CD3+ (all)/CTLA-4+ | Freq. of Parent (%)</t>
  </si>
  <si>
    <t>Cells/Single Cells/Live pt 2/CD3+ (all)/PD-1+ | Freq. of Parent (%)</t>
  </si>
  <si>
    <t>Cells/Single Cells/Live pt 2/CD3+ (all)/Foxp3+ | Freq. of Parent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</si>
</sst>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8"/>
      <name val="Calibri"/>
      <family val="2"/>
    </font>
    <font>
      <sz val="10"/>
      <name val="Arial"/>
      <family val="2"/>
    </font>
    <font>
      <b/>
      <u/>
      <sz val="10"/>
      <name val="Arial"/>
      <family val="2"/>
    </font>
    <font>
      <sz val="10"/>
      <color rgb="FF27413E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CCF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double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indexed="64"/>
      </right>
      <top/>
      <bottom style="thin">
        <color rgb="FF000000"/>
      </bottom>
      <diagonal/>
    </border>
    <border>
      <left style="thin">
        <color rgb="FF000000"/>
      </left>
      <right style="double">
        <color indexed="64"/>
      </right>
      <top style="thin">
        <color rgb="FF000000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3" fillId="0" borderId="0"/>
    <xf numFmtId="0" fontId="5" fillId="0" borderId="0"/>
    <xf numFmtId="0" fontId="1" fillId="0" borderId="0"/>
  </cellStyleXfs>
  <cellXfs count="61">
    <xf numFmtId="0" fontId="0" fillId="0" borderId="0" xfId="0"/>
    <xf numFmtId="0" fontId="3" fillId="0" borderId="0" xfId="6"/>
    <xf numFmtId="0" fontId="3" fillId="0" borderId="1" xfId="6" applyBorder="1"/>
    <xf numFmtId="0" fontId="3" fillId="0" borderId="2" xfId="6" applyBorder="1"/>
    <xf numFmtId="0" fontId="2" fillId="6" borderId="0" xfId="5" applyAlignment="1">
      <alignment horizontal="center"/>
    </xf>
    <xf numFmtId="0" fontId="2" fillId="6" borderId="0" xfId="5" applyBorder="1" applyAlignment="1">
      <alignment horizontal="center"/>
    </xf>
    <xf numFmtId="0" fontId="2" fillId="6" borderId="3" xfId="5" applyBorder="1" applyAlignment="1">
      <alignment horizontal="center"/>
    </xf>
    <xf numFmtId="0" fontId="3" fillId="0" borderId="3" xfId="6" applyBorder="1"/>
    <xf numFmtId="0" fontId="2" fillId="2" borderId="0" xfId="1" applyAlignment="1">
      <alignment horizontal="center"/>
    </xf>
    <xf numFmtId="0" fontId="2" fillId="3" borderId="0" xfId="2" applyAlignment="1">
      <alignment horizontal="center"/>
    </xf>
    <xf numFmtId="0" fontId="2" fillId="4" borderId="0" xfId="3" applyAlignment="1">
      <alignment horizontal="center"/>
    </xf>
    <xf numFmtId="0" fontId="2" fillId="5" borderId="0" xfId="4" applyBorder="1" applyAlignment="1">
      <alignment horizontal="center"/>
    </xf>
    <xf numFmtId="0" fontId="2" fillId="5" borderId="4" xfId="4" applyBorder="1" applyAlignment="1">
      <alignment horizontal="center"/>
    </xf>
    <xf numFmtId="0" fontId="3" fillId="0" borderId="4" xfId="6" applyBorder="1"/>
    <xf numFmtId="0" fontId="2" fillId="5" borderId="5" xfId="4" applyBorder="1" applyAlignment="1">
      <alignment horizontal="center"/>
    </xf>
    <xf numFmtId="0" fontId="3" fillId="0" borderId="5" xfId="6" applyBorder="1"/>
    <xf numFmtId="0" fontId="3" fillId="0" borderId="9" xfId="6" applyBorder="1"/>
    <xf numFmtId="0" fontId="3" fillId="0" borderId="0" xfId="6" applyAlignment="1">
      <alignment horizontal="right"/>
    </xf>
    <xf numFmtId="0" fontId="5" fillId="0" borderId="0" xfId="7"/>
    <xf numFmtId="0" fontId="5" fillId="0" borderId="1" xfId="7" applyBorder="1"/>
    <xf numFmtId="0" fontId="6" fillId="0" borderId="0" xfId="7" applyFont="1" applyAlignment="1">
      <alignment horizontal="center"/>
    </xf>
    <xf numFmtId="0" fontId="5" fillId="0" borderId="0" xfId="7" applyAlignment="1">
      <alignment horizontal="center"/>
    </xf>
    <xf numFmtId="0" fontId="7" fillId="8" borderId="10" xfId="7" applyFont="1" applyFill="1" applyBorder="1" applyAlignment="1">
      <alignment horizontal="center" vertical="center" wrapText="1"/>
    </xf>
    <xf numFmtId="0" fontId="7" fillId="8" borderId="11" xfId="7" applyFont="1" applyFill="1" applyBorder="1" applyAlignment="1">
      <alignment horizontal="center" vertical="center" wrapText="1"/>
    </xf>
    <xf numFmtId="0" fontId="7" fillId="8" borderId="13" xfId="7" applyFont="1" applyFill="1" applyBorder="1" applyAlignment="1">
      <alignment horizontal="center" vertical="center" wrapText="1"/>
    </xf>
    <xf numFmtId="0" fontId="5" fillId="0" borderId="6" xfId="7" applyBorder="1"/>
    <xf numFmtId="0" fontId="5" fillId="0" borderId="7" xfId="7" applyBorder="1"/>
    <xf numFmtId="0" fontId="5" fillId="0" borderId="8" xfId="7" applyBorder="1"/>
    <xf numFmtId="0" fontId="5" fillId="0" borderId="14" xfId="7" applyBorder="1"/>
    <xf numFmtId="0" fontId="5" fillId="0" borderId="2" xfId="7" applyBorder="1"/>
    <xf numFmtId="0" fontId="5" fillId="0" borderId="15" xfId="7" applyBorder="1"/>
    <xf numFmtId="0" fontId="5" fillId="0" borderId="16" xfId="7" applyBorder="1"/>
    <xf numFmtId="0" fontId="5" fillId="0" borderId="17" xfId="7" applyBorder="1"/>
    <xf numFmtId="0" fontId="7" fillId="8" borderId="19" xfId="7" applyFont="1" applyFill="1" applyBorder="1" applyAlignment="1">
      <alignment horizontal="center" vertical="center" wrapText="1"/>
    </xf>
    <xf numFmtId="0" fontId="7" fillId="8" borderId="21" xfId="7" applyFont="1" applyFill="1" applyBorder="1" applyAlignment="1">
      <alignment horizontal="center" vertical="center" wrapText="1"/>
    </xf>
    <xf numFmtId="0" fontId="5" fillId="0" borderId="22" xfId="7" applyBorder="1"/>
    <xf numFmtId="0" fontId="5" fillId="0" borderId="23" xfId="7" applyBorder="1"/>
    <xf numFmtId="0" fontId="5" fillId="0" borderId="18" xfId="7" applyBorder="1"/>
    <xf numFmtId="0" fontId="1" fillId="0" borderId="0" xfId="8"/>
    <xf numFmtId="0" fontId="1" fillId="0" borderId="0" xfId="8" applyAlignment="1">
      <alignment horizontal="center"/>
    </xf>
    <xf numFmtId="0" fontId="1" fillId="0" borderId="0" xfId="8" applyAlignment="1">
      <alignment horizontal="left"/>
    </xf>
    <xf numFmtId="0" fontId="3" fillId="0" borderId="6" xfId="6" applyBorder="1" applyAlignment="1">
      <alignment horizontal="center"/>
    </xf>
    <xf numFmtId="0" fontId="3" fillId="0" borderId="7" xfId="6" applyBorder="1" applyAlignment="1">
      <alignment horizontal="center"/>
    </xf>
    <xf numFmtId="0" fontId="3" fillId="0" borderId="8" xfId="6" applyBorder="1" applyAlignment="1">
      <alignment horizontal="center"/>
    </xf>
    <xf numFmtId="0" fontId="2" fillId="2" borderId="0" xfId="1" applyAlignment="1">
      <alignment horizontal="center" vertical="center"/>
    </xf>
    <xf numFmtId="0" fontId="2" fillId="3" borderId="0" xfId="2" applyAlignment="1">
      <alignment horizontal="center" vertical="center"/>
    </xf>
    <xf numFmtId="0" fontId="2" fillId="4" borderId="0" xfId="3" applyAlignment="1">
      <alignment horizontal="center" vertical="center"/>
    </xf>
    <xf numFmtId="0" fontId="3" fillId="7" borderId="0" xfId="6" applyFill="1" applyAlignment="1">
      <alignment horizontal="center"/>
    </xf>
    <xf numFmtId="0" fontId="2" fillId="5" borderId="0" xfId="4" applyBorder="1" applyAlignment="1">
      <alignment horizontal="center"/>
    </xf>
    <xf numFmtId="0" fontId="2" fillId="5" borderId="4" xfId="4" applyBorder="1" applyAlignment="1">
      <alignment horizontal="center"/>
    </xf>
    <xf numFmtId="0" fontId="2" fillId="5" borderId="5" xfId="4" applyBorder="1" applyAlignment="1">
      <alignment horizontal="center"/>
    </xf>
    <xf numFmtId="0" fontId="0" fillId="6" borderId="0" xfId="5" applyFont="1" applyBorder="1" applyAlignment="1">
      <alignment horizontal="center"/>
    </xf>
    <xf numFmtId="0" fontId="2" fillId="6" borderId="0" xfId="5" applyBorder="1" applyAlignment="1">
      <alignment horizontal="center"/>
    </xf>
    <xf numFmtId="0" fontId="2" fillId="6" borderId="3" xfId="5" applyBorder="1" applyAlignment="1">
      <alignment horizontal="center"/>
    </xf>
    <xf numFmtId="0" fontId="0" fillId="6" borderId="0" xfId="5" applyFont="1" applyAlignment="1">
      <alignment horizontal="center"/>
    </xf>
    <xf numFmtId="0" fontId="2" fillId="6" borderId="0" xfId="5" applyAlignment="1">
      <alignment horizontal="center"/>
    </xf>
    <xf numFmtId="0" fontId="0" fillId="6" borderId="12" xfId="5" applyFont="1" applyBorder="1" applyAlignment="1">
      <alignment horizontal="center"/>
    </xf>
    <xf numFmtId="0" fontId="2" fillId="5" borderId="12" xfId="4" applyBorder="1" applyAlignment="1">
      <alignment horizontal="center"/>
    </xf>
    <xf numFmtId="0" fontId="2" fillId="5" borderId="20" xfId="4" applyBorder="1" applyAlignment="1">
      <alignment horizontal="center"/>
    </xf>
    <xf numFmtId="0" fontId="5" fillId="0" borderId="0" xfId="7" applyAlignment="1">
      <alignment horizontal="center"/>
    </xf>
    <xf numFmtId="11" fontId="1" fillId="0" borderId="0" xfId="8" applyNumberFormat="1"/>
  </cellXfs>
  <cellStyles count="9">
    <cellStyle name="20% - Accent1" xfId="1" builtinId="30"/>
    <cellStyle name="20% - Accent3" xfId="4" builtinId="38"/>
    <cellStyle name="20% - Accent5" xfId="5" builtinId="46"/>
    <cellStyle name="40% - Accent1" xfId="2" builtinId="31"/>
    <cellStyle name="60% - Accent1" xfId="3" builtinId="32"/>
    <cellStyle name="Normal" xfId="0" builtinId="0"/>
    <cellStyle name="Normal 2" xfId="6" xr:uid="{3D8AA22D-8DC5-42BC-B4DA-FCF1BF2C8B73}"/>
    <cellStyle name="Normal 3" xfId="7" xr:uid="{A23B9EFB-59F0-47CC-9A2A-4A6A73497EEB}"/>
    <cellStyle name="Normal 4" xfId="8" xr:uid="{0D27ECDB-0ADA-4BC7-A83F-2825E6C753C0}"/>
  </cellStyles>
  <dxfs count="2"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2D7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Cell</a:t>
            </a:r>
            <a:r>
              <a:rPr lang="en-US" sz="1200" baseline="0"/>
              <a:t> Lines</a:t>
            </a:r>
            <a:endParaRPr lang="en-US" sz="1200"/>
          </a:p>
        </c:rich>
      </c:tx>
      <c:layout>
        <c:manualLayout>
          <c:xMode val="edge"/>
          <c:yMode val="edge"/>
          <c:x val="0.38336918515522561"/>
          <c:y val="1.653428398516017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958019209328598"/>
          <c:y val="0.12108121901428988"/>
          <c:w val="0.86085907897123093"/>
          <c:h val="0.70786089238845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'Allo-React'!$G$16</c:f>
              <c:strCache>
                <c:ptCount val="1"/>
                <c:pt idx="0">
                  <c:v>Veh</c:v>
                </c:pt>
              </c:strCache>
            </c:strRef>
          </c:tx>
          <c:spPr>
            <a:solidFill>
              <a:sysClr val="windowText" lastClr="000000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'Allo-React'!$L$16:$N$16</c:f>
                <c:numCache>
                  <c:formatCode>General</c:formatCode>
                  <c:ptCount val="3"/>
                  <c:pt idx="0">
                    <c:v>6.3901500783039751</c:v>
                  </c:pt>
                  <c:pt idx="1">
                    <c:v>5.0685511526754317</c:v>
                  </c:pt>
                  <c:pt idx="2">
                    <c:v>5.1572587061680206</c:v>
                  </c:pt>
                </c:numCache>
              </c:numRef>
            </c:plus>
            <c:minus>
              <c:numRef>
                <c:f>'Allo-React'!$L$16:$N$16</c:f>
                <c:numCache>
                  <c:formatCode>General</c:formatCode>
                  <c:ptCount val="3"/>
                  <c:pt idx="0">
                    <c:v>6.3901500783039751</c:v>
                  </c:pt>
                  <c:pt idx="1">
                    <c:v>5.0685511526754317</c:v>
                  </c:pt>
                  <c:pt idx="2">
                    <c:v>5.1572587061680206</c:v>
                  </c:pt>
                </c:numCache>
              </c:numRef>
            </c:minus>
            <c:spPr>
              <a:ln w="22225">
                <a:solidFill>
                  <a:sysClr val="windowText" lastClr="000000">
                    <a:lumMod val="50000"/>
                    <a:lumOff val="50000"/>
                  </a:sysClr>
                </a:solidFill>
              </a:ln>
            </c:spPr>
          </c:errBars>
          <c:val>
            <c:numRef>
              <c:f>'Allo-React'!$H$16:$J$16</c:f>
              <c:numCache>
                <c:formatCode>General</c:formatCode>
                <c:ptCount val="3"/>
                <c:pt idx="0">
                  <c:v>15.842091111111102</c:v>
                </c:pt>
                <c:pt idx="1">
                  <c:v>12.993997222222218</c:v>
                </c:pt>
                <c:pt idx="2">
                  <c:v>11.311346111111112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7B-4F2B-A78A-A33957E0C61A}"/>
            </c:ext>
          </c:extLst>
        </c:ser>
        <c:ser>
          <c:idx val="1"/>
          <c:order val="1"/>
          <c:tx>
            <c:strRef>
              <c:f>'Allo-React'!$G$17</c:f>
              <c:strCache>
                <c:ptCount val="1"/>
                <c:pt idx="0">
                  <c:v>Val</c:v>
                </c:pt>
              </c:strCache>
            </c:strRef>
          </c:tx>
          <c:spPr>
            <a:solidFill>
              <a:srgbClr val="2D7FCF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'Allo-React'!$L$17:$N$17</c:f>
                <c:numCache>
                  <c:formatCode>General</c:formatCode>
                  <c:ptCount val="3"/>
                  <c:pt idx="0">
                    <c:v>6.3721271762541241</c:v>
                  </c:pt>
                  <c:pt idx="1">
                    <c:v>4.8833773467001516</c:v>
                  </c:pt>
                  <c:pt idx="2">
                    <c:v>5.5460533408663339</c:v>
                  </c:pt>
                </c:numCache>
              </c:numRef>
            </c:plus>
            <c:minus>
              <c:numRef>
                <c:f>'Allo-React'!$L$17:$N$17</c:f>
                <c:numCache>
                  <c:formatCode>General</c:formatCode>
                  <c:ptCount val="3"/>
                  <c:pt idx="0">
                    <c:v>6.3721271762541241</c:v>
                  </c:pt>
                  <c:pt idx="1">
                    <c:v>4.8833773467001516</c:v>
                  </c:pt>
                  <c:pt idx="2">
                    <c:v>5.5460533408663339</c:v>
                  </c:pt>
                </c:numCache>
              </c:numRef>
            </c:minus>
            <c:spPr>
              <a:ln w="22225"/>
            </c:spPr>
          </c:errBars>
          <c:val>
            <c:numRef>
              <c:f>'Allo-React'!$H$17:$J$17</c:f>
              <c:numCache>
                <c:formatCode>General</c:formatCode>
                <c:ptCount val="3"/>
                <c:pt idx="0">
                  <c:v>24.85530833333333</c:v>
                </c:pt>
                <c:pt idx="1">
                  <c:v>18.400548333333333</c:v>
                </c:pt>
                <c:pt idx="2">
                  <c:v>21.648616666666669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C7B-4F2B-A78A-A33957E0C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5"/>
        <c:axId val="1962393264"/>
        <c:axId val="1"/>
      </c:barChart>
      <c:catAx>
        <c:axId val="196239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2700000" vert="horz"/>
          <a:lstStyle/>
          <a:p>
            <a:pPr>
              <a:defRPr sz="1000"/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35"/>
          <c:min val="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vert="horz"/>
          <a:lstStyle/>
          <a:p>
            <a:pPr>
              <a:defRPr sz="1200"/>
            </a:pPr>
            <a:endParaRPr lang="en-US"/>
          </a:p>
        </c:txPr>
        <c:crossAx val="1962393264"/>
        <c:crosses val="autoZero"/>
        <c:crossBetween val="between"/>
        <c:maj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Overall</a:t>
            </a:r>
          </a:p>
        </c:rich>
      </c:tx>
      <c:layout>
        <c:manualLayout>
          <c:xMode val="edge"/>
          <c:yMode val="edge"/>
          <c:x val="0.2746313235508534"/>
          <c:y val="1.653433945756780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958019209328598"/>
          <c:y val="0.12108121901428988"/>
          <c:w val="0.75827488777017626"/>
          <c:h val="0.792828469970665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'Allo-React'!$C$16</c:f>
              <c:strCache>
                <c:ptCount val="1"/>
                <c:pt idx="0">
                  <c:v>Veh</c:v>
                </c:pt>
              </c:strCache>
            </c:strRef>
          </c:tx>
          <c:spPr>
            <a:solidFill>
              <a:sysClr val="windowText" lastClr="000000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'Allo-React'!$E$16</c:f>
                <c:numCache>
                  <c:formatCode>General</c:formatCode>
                  <c:ptCount val="1"/>
                  <c:pt idx="0">
                    <c:v>3.1658123503780762</c:v>
                  </c:pt>
                </c:numCache>
              </c:numRef>
            </c:plus>
            <c:minus>
              <c:numRef>
                <c:f>'Allo-React'!$E$16</c:f>
                <c:numCache>
                  <c:formatCode>General</c:formatCode>
                  <c:ptCount val="1"/>
                  <c:pt idx="0">
                    <c:v>3.1658123503780762</c:v>
                  </c:pt>
                </c:numCache>
              </c:numRef>
            </c:minus>
            <c:spPr>
              <a:ln w="22225">
                <a:solidFill>
                  <a:sysClr val="windowText" lastClr="000000">
                    <a:lumMod val="50000"/>
                    <a:lumOff val="50000"/>
                  </a:sysClr>
                </a:solidFill>
              </a:ln>
            </c:spPr>
          </c:errBars>
          <c:val>
            <c:numRef>
              <c:f>'Allo-React'!$D$16</c:f>
              <c:numCache>
                <c:formatCode>General</c:formatCode>
                <c:ptCount val="1"/>
                <c:pt idx="0">
                  <c:v>13.382478148148145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B2-4F7B-B8F1-4A8FE9F854CB}"/>
            </c:ext>
          </c:extLst>
        </c:ser>
        <c:ser>
          <c:idx val="1"/>
          <c:order val="1"/>
          <c:tx>
            <c:strRef>
              <c:f>'Allo-React'!$C$17</c:f>
              <c:strCache>
                <c:ptCount val="1"/>
                <c:pt idx="0">
                  <c:v>Val</c:v>
                </c:pt>
              </c:strCache>
            </c:strRef>
          </c:tx>
          <c:spPr>
            <a:solidFill>
              <a:srgbClr val="2D7FCF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'Allo-React'!$E$17</c:f>
                <c:numCache>
                  <c:formatCode>General</c:formatCode>
                  <c:ptCount val="1"/>
                  <c:pt idx="0">
                    <c:v>3.2110302456448605</c:v>
                  </c:pt>
                </c:numCache>
              </c:numRef>
            </c:plus>
            <c:minus>
              <c:numRef>
                <c:f>'Allo-React'!$E$17</c:f>
                <c:numCache>
                  <c:formatCode>General</c:formatCode>
                  <c:ptCount val="1"/>
                  <c:pt idx="0">
                    <c:v>3.2110302456448605</c:v>
                  </c:pt>
                </c:numCache>
              </c:numRef>
            </c:minus>
            <c:spPr>
              <a:ln w="22225"/>
            </c:spPr>
          </c:errBars>
          <c:val>
            <c:numRef>
              <c:f>'Allo-React'!$D$17</c:f>
              <c:numCache>
                <c:formatCode>General</c:formatCode>
                <c:ptCount val="1"/>
                <c:pt idx="0">
                  <c:v>21.63482444444444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1B2-4F7B-B8F1-4A8FE9F85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5"/>
        <c:axId val="1962393264"/>
        <c:axId val="1"/>
      </c:barChart>
      <c:catAx>
        <c:axId val="1962393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30"/>
          <c:min val="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vert="horz"/>
          <a:lstStyle/>
          <a:p>
            <a:pPr>
              <a:defRPr sz="1200"/>
            </a:pPr>
            <a:endParaRPr lang="en-US"/>
          </a:p>
        </c:txPr>
        <c:crossAx val="1962393264"/>
        <c:crosses val="autoZero"/>
        <c:crossBetween val="between"/>
        <c:maj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Patients</a:t>
            </a:r>
          </a:p>
        </c:rich>
      </c:tx>
      <c:layout>
        <c:manualLayout>
          <c:xMode val="edge"/>
          <c:yMode val="edge"/>
          <c:x val="0.38336918515522561"/>
          <c:y val="1.653428398516017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958019209328598"/>
          <c:y val="0.12108121901428988"/>
          <c:w val="0.86085907897123093"/>
          <c:h val="0.70786089238845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'Allo-React'!$G$16</c:f>
              <c:strCache>
                <c:ptCount val="1"/>
                <c:pt idx="0">
                  <c:v>Veh</c:v>
                </c:pt>
              </c:strCache>
            </c:strRef>
          </c:tx>
          <c:spPr>
            <a:solidFill>
              <a:sysClr val="windowText" lastClr="000000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'Allo-React'!$T$16:$U$16</c:f>
                <c:numCache>
                  <c:formatCode>General</c:formatCode>
                  <c:ptCount val="2"/>
                  <c:pt idx="0">
                    <c:v>3.6759606722925384</c:v>
                  </c:pt>
                  <c:pt idx="1">
                    <c:v>2.3748138229303599</c:v>
                  </c:pt>
                </c:numCache>
              </c:numRef>
            </c:plus>
            <c:minus>
              <c:numRef>
                <c:f>'Allo-React'!$T$16:$U$16</c:f>
                <c:numCache>
                  <c:formatCode>General</c:formatCode>
                  <c:ptCount val="2"/>
                  <c:pt idx="0">
                    <c:v>3.6759606722925384</c:v>
                  </c:pt>
                  <c:pt idx="1">
                    <c:v>2.3748138229303599</c:v>
                  </c:pt>
                </c:numCache>
              </c:numRef>
            </c:minus>
            <c:spPr>
              <a:ln w="22225">
                <a:solidFill>
                  <a:sysClr val="windowText" lastClr="000000">
                    <a:lumMod val="50000"/>
                    <a:lumOff val="50000"/>
                  </a:sysClr>
                </a:solidFill>
              </a:ln>
            </c:spPr>
          </c:errBars>
          <c:val>
            <c:numRef>
              <c:f>'Allo-React'!$Q$16:$R$16</c:f>
              <c:numCache>
                <c:formatCode>General</c:formatCode>
                <c:ptCount val="2"/>
                <c:pt idx="0">
                  <c:v>30.181404814814815</c:v>
                </c:pt>
                <c:pt idx="1">
                  <c:v>-3.4164485185185187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F6-4408-84A3-0693376DA2BA}"/>
            </c:ext>
          </c:extLst>
        </c:ser>
        <c:ser>
          <c:idx val="1"/>
          <c:order val="1"/>
          <c:tx>
            <c:strRef>
              <c:f>'Allo-React'!$G$17</c:f>
              <c:strCache>
                <c:ptCount val="1"/>
                <c:pt idx="0">
                  <c:v>Val</c:v>
                </c:pt>
              </c:strCache>
            </c:strRef>
          </c:tx>
          <c:spPr>
            <a:solidFill>
              <a:srgbClr val="2D7FCF"/>
            </a:solidFill>
          </c:spPr>
          <c:invertIfNegative val="0"/>
          <c:errBars>
            <c:errBarType val="both"/>
            <c:errValType val="cust"/>
            <c:noEndCap val="0"/>
            <c:plus>
              <c:numRef>
                <c:f>'Allo-React'!$T$17:$U$17</c:f>
                <c:numCache>
                  <c:formatCode>General</c:formatCode>
                  <c:ptCount val="2"/>
                  <c:pt idx="0">
                    <c:v>4.3207558958758847</c:v>
                  </c:pt>
                  <c:pt idx="1">
                    <c:v>4.7055393840942328</c:v>
                  </c:pt>
                </c:numCache>
              </c:numRef>
            </c:plus>
            <c:minus>
              <c:numRef>
                <c:f>'Allo-React'!$T$17:$U$17</c:f>
                <c:numCache>
                  <c:formatCode>General</c:formatCode>
                  <c:ptCount val="2"/>
                  <c:pt idx="0">
                    <c:v>4.3207558958758847</c:v>
                  </c:pt>
                  <c:pt idx="1">
                    <c:v>4.7055393840942328</c:v>
                  </c:pt>
                </c:numCache>
              </c:numRef>
            </c:minus>
            <c:spPr>
              <a:ln w="22225"/>
            </c:spPr>
          </c:errBars>
          <c:val>
            <c:numRef>
              <c:f>'Allo-React'!$Q$17:$R$17</c:f>
              <c:numCache>
                <c:formatCode>General</c:formatCode>
                <c:ptCount val="2"/>
                <c:pt idx="0">
                  <c:v>25.625374074074074</c:v>
                </c:pt>
                <c:pt idx="1">
                  <c:v>17.644274814814807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F6-4408-84A3-0693376DA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5"/>
        <c:axId val="1962393264"/>
        <c:axId val="1"/>
      </c:barChart>
      <c:catAx>
        <c:axId val="196239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2700000" vert="horz"/>
          <a:lstStyle/>
          <a:p>
            <a:pPr>
              <a:defRPr sz="1000"/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35"/>
          <c:min val="-1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vert="horz"/>
          <a:lstStyle/>
          <a:p>
            <a:pPr>
              <a:defRPr sz="1200"/>
            </a:pPr>
            <a:endParaRPr lang="en-US"/>
          </a:p>
        </c:txPr>
        <c:crossAx val="1962393264"/>
        <c:crosses val="autoZero"/>
        <c:crossBetween val="between"/>
        <c:maj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5262983707093787E-2"/>
          <c:y val="4.7625058711793802E-2"/>
          <c:w val="0.90396718641559792"/>
          <c:h val="0.62726930787194912"/>
        </c:manualLayout>
      </c:layout>
      <c:barChart>
        <c:barDir val="col"/>
        <c:grouping val="clustered"/>
        <c:varyColors val="0"/>
        <c:ser>
          <c:idx val="0"/>
          <c:order val="0"/>
          <c:tx>
            <c:v>Veh</c:v>
          </c:tx>
          <c:spPr>
            <a:solidFill>
              <a:schemeClr val="tx1"/>
            </a:solidFill>
            <a:ln>
              <a:solidFill>
                <a:schemeClr val="tx1">
                  <a:lumMod val="65000"/>
                  <a:lumOff val="35000"/>
                </a:schemeClr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[1]Plots!$E$2:$E$19</c:f>
                <c:numCache>
                  <c:formatCode>General</c:formatCode>
                  <c:ptCount val="18"/>
                  <c:pt idx="0">
                    <c:v>3.6462750814628491</c:v>
                  </c:pt>
                  <c:pt idx="1">
                    <c:v>3.2607746802181121</c:v>
                  </c:pt>
                  <c:pt idx="2">
                    <c:v>1.8956622466925269E-2</c:v>
                  </c:pt>
                  <c:pt idx="3">
                    <c:v>1.0268251845353034</c:v>
                  </c:pt>
                  <c:pt idx="4">
                    <c:v>0.16963567616000658</c:v>
                  </c:pt>
                  <c:pt idx="5">
                    <c:v>1.1862564195524057</c:v>
                  </c:pt>
                  <c:pt idx="6">
                    <c:v>7.0280762522955591</c:v>
                  </c:pt>
                  <c:pt idx="7">
                    <c:v>0.65821537109632644</c:v>
                  </c:pt>
                  <c:pt idx="8">
                    <c:v>4.6035477096638759</c:v>
                  </c:pt>
                  <c:pt idx="9">
                    <c:v>4.1942511160208902</c:v>
                  </c:pt>
                  <c:pt idx="10">
                    <c:v>7.2624014449405623</c:v>
                  </c:pt>
                  <c:pt idx="11">
                    <c:v>3.2843522492220152</c:v>
                  </c:pt>
                  <c:pt idx="12">
                    <c:v>4.5861527141136289</c:v>
                  </c:pt>
                  <c:pt idx="13">
                    <c:v>5.8868218689859759</c:v>
                  </c:pt>
                  <c:pt idx="14">
                    <c:v>2.9374497631638019</c:v>
                  </c:pt>
                  <c:pt idx="15">
                    <c:v>0.22759890734856936</c:v>
                  </c:pt>
                  <c:pt idx="16">
                    <c:v>4.3959027856067365</c:v>
                  </c:pt>
                  <c:pt idx="17">
                    <c:v>1.0408362750765139</c:v>
                  </c:pt>
                </c:numCache>
              </c:numRef>
            </c:plus>
            <c:minus>
              <c:numRef>
                <c:f>[1]Plots!$E$2:$E$19</c:f>
                <c:numCache>
                  <c:formatCode>General</c:formatCode>
                  <c:ptCount val="18"/>
                  <c:pt idx="0">
                    <c:v>3.6462750814628491</c:v>
                  </c:pt>
                  <c:pt idx="1">
                    <c:v>3.2607746802181121</c:v>
                  </c:pt>
                  <c:pt idx="2">
                    <c:v>1.8956622466925269E-2</c:v>
                  </c:pt>
                  <c:pt idx="3">
                    <c:v>1.0268251845353034</c:v>
                  </c:pt>
                  <c:pt idx="4">
                    <c:v>0.16963567616000658</c:v>
                  </c:pt>
                  <c:pt idx="5">
                    <c:v>1.1862564195524057</c:v>
                  </c:pt>
                  <c:pt idx="6">
                    <c:v>7.0280762522955591</c:v>
                  </c:pt>
                  <c:pt idx="7">
                    <c:v>0.65821537109632644</c:v>
                  </c:pt>
                  <c:pt idx="8">
                    <c:v>4.6035477096638759</c:v>
                  </c:pt>
                  <c:pt idx="9">
                    <c:v>4.1942511160208902</c:v>
                  </c:pt>
                  <c:pt idx="10">
                    <c:v>7.2624014449405623</c:v>
                  </c:pt>
                  <c:pt idx="11">
                    <c:v>3.2843522492220152</c:v>
                  </c:pt>
                  <c:pt idx="12">
                    <c:v>4.5861527141136289</c:v>
                  </c:pt>
                  <c:pt idx="13">
                    <c:v>5.8868218689859759</c:v>
                  </c:pt>
                  <c:pt idx="14">
                    <c:v>2.9374497631638019</c:v>
                  </c:pt>
                  <c:pt idx="15">
                    <c:v>0.22759890734856936</c:v>
                  </c:pt>
                  <c:pt idx="16">
                    <c:v>4.3959027856067365</c:v>
                  </c:pt>
                  <c:pt idx="17">
                    <c:v>1.0408362750765139</c:v>
                  </c:pt>
                </c:numCache>
              </c:numRef>
            </c:minus>
            <c:spPr>
              <a:ln w="15875">
                <a:solidFill>
                  <a:sysClr val="window" lastClr="FFFFFF">
                    <a:lumMod val="65000"/>
                  </a:sysClr>
                </a:solidFill>
              </a:ln>
            </c:spPr>
          </c:errBars>
          <c:cat>
            <c:strRef>
              <c:f>[1]Plots!$B$2:$B$19</c:f>
              <c:strCache>
                <c:ptCount val="18"/>
                <c:pt idx="0">
                  <c:v>CD4+</c:v>
                </c:pt>
                <c:pt idx="1">
                  <c:v>CD8+</c:v>
                </c:pt>
                <c:pt idx="2">
                  <c:v>Treg</c:v>
                </c:pt>
                <c:pt idx="3">
                  <c:v>NK</c:v>
                </c:pt>
                <c:pt idx="4">
                  <c:v>NKT</c:v>
                </c:pt>
                <c:pt idx="5">
                  <c:v>non-T</c:v>
                </c:pt>
                <c:pt idx="6">
                  <c:v>Activated</c:v>
                </c:pt>
                <c:pt idx="7">
                  <c:v>Naïve </c:v>
                </c:pt>
                <c:pt idx="8">
                  <c:v>TCM</c:v>
                </c:pt>
                <c:pt idx="9">
                  <c:v>TEM </c:v>
                </c:pt>
                <c:pt idx="10">
                  <c:v>CD25+</c:v>
                </c:pt>
                <c:pt idx="11">
                  <c:v>CD27+</c:v>
                </c:pt>
                <c:pt idx="12">
                  <c:v>CD69+</c:v>
                </c:pt>
                <c:pt idx="13">
                  <c:v>Ki67+</c:v>
                </c:pt>
                <c:pt idx="14">
                  <c:v>TCF1+</c:v>
                </c:pt>
                <c:pt idx="15">
                  <c:v>CTLA4+</c:v>
                </c:pt>
                <c:pt idx="16">
                  <c:v>PD1+</c:v>
                </c:pt>
                <c:pt idx="17">
                  <c:v>Foxp3+</c:v>
                </c:pt>
              </c:strCache>
            </c:strRef>
          </c:cat>
          <c:val>
            <c:numRef>
              <c:f>[1]Plots!$C$2:$C$19</c:f>
              <c:numCache>
                <c:formatCode>General</c:formatCode>
                <c:ptCount val="18"/>
                <c:pt idx="0">
                  <c:v>54.725000000000001</c:v>
                </c:pt>
                <c:pt idx="1">
                  <c:v>39.65</c:v>
                </c:pt>
                <c:pt idx="2">
                  <c:v>0.11133333333333333</c:v>
                </c:pt>
                <c:pt idx="3">
                  <c:v>1.8346666666666664</c:v>
                </c:pt>
                <c:pt idx="4">
                  <c:v>0.44333333333333319</c:v>
                </c:pt>
                <c:pt idx="5">
                  <c:v>1.9683333333333335</c:v>
                </c:pt>
                <c:pt idx="6">
                  <c:v>42.678333333333335</c:v>
                </c:pt>
                <c:pt idx="7">
                  <c:v>2.1633333333333331</c:v>
                </c:pt>
                <c:pt idx="8">
                  <c:v>37.15</c:v>
                </c:pt>
                <c:pt idx="9">
                  <c:v>59.65</c:v>
                </c:pt>
                <c:pt idx="10">
                  <c:v>52.333333333333336</c:v>
                </c:pt>
                <c:pt idx="11">
                  <c:v>24.299999999999997</c:v>
                </c:pt>
                <c:pt idx="12">
                  <c:v>72.408333333333331</c:v>
                </c:pt>
                <c:pt idx="13">
                  <c:v>68.083333333333343</c:v>
                </c:pt>
                <c:pt idx="14">
                  <c:v>33.083333333333336</c:v>
                </c:pt>
                <c:pt idx="15">
                  <c:v>1.2283333333333333</c:v>
                </c:pt>
                <c:pt idx="16">
                  <c:v>22.044166666666666</c:v>
                </c:pt>
                <c:pt idx="17">
                  <c:v>7.2849999999999993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45-4792-81CC-E6B88A981DCF}"/>
            </c:ext>
          </c:extLst>
        </c:ser>
        <c:ser>
          <c:idx val="1"/>
          <c:order val="1"/>
          <c:tx>
            <c:v>Val</c:v>
          </c:tx>
          <c:spPr>
            <a:solidFill>
              <a:srgbClr val="2D7FCF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[1]Plots!$F$2:$F$19</c:f>
                <c:numCache>
                  <c:formatCode>General</c:formatCode>
                  <c:ptCount val="18"/>
                  <c:pt idx="0">
                    <c:v>4.7682318896563096</c:v>
                  </c:pt>
                  <c:pt idx="1">
                    <c:v>3.9523934699640111</c:v>
                  </c:pt>
                  <c:pt idx="2">
                    <c:v>9.9892619114403766E-2</c:v>
                  </c:pt>
                  <c:pt idx="3">
                    <c:v>0.8030759599656484</c:v>
                  </c:pt>
                  <c:pt idx="4">
                    <c:v>1.6926894765849452</c:v>
                  </c:pt>
                  <c:pt idx="5">
                    <c:v>0.60627568153456546</c:v>
                  </c:pt>
                  <c:pt idx="6">
                    <c:v>7.2662867046895077</c:v>
                  </c:pt>
                  <c:pt idx="7">
                    <c:v>0.12894580335171901</c:v>
                  </c:pt>
                  <c:pt idx="8">
                    <c:v>2.5487899188644509</c:v>
                  </c:pt>
                  <c:pt idx="9">
                    <c:v>2.4694330822022184</c:v>
                  </c:pt>
                  <c:pt idx="10">
                    <c:v>11.242033498069516</c:v>
                  </c:pt>
                  <c:pt idx="11">
                    <c:v>1.460254146276309</c:v>
                  </c:pt>
                  <c:pt idx="12">
                    <c:v>5.8207846628190092</c:v>
                  </c:pt>
                  <c:pt idx="13">
                    <c:v>4.1045883109052674</c:v>
                  </c:pt>
                  <c:pt idx="14">
                    <c:v>4.3565425952053287</c:v>
                  </c:pt>
                  <c:pt idx="15">
                    <c:v>1.2592891964529163</c:v>
                  </c:pt>
                  <c:pt idx="16">
                    <c:v>1.898437688354726</c:v>
                  </c:pt>
                  <c:pt idx="17">
                    <c:v>1.4904597284127461</c:v>
                  </c:pt>
                </c:numCache>
              </c:numRef>
            </c:plus>
            <c:minus>
              <c:numRef>
                <c:f>[1]Plots!$F$2:$F$19</c:f>
                <c:numCache>
                  <c:formatCode>General</c:formatCode>
                  <c:ptCount val="18"/>
                  <c:pt idx="0">
                    <c:v>4.7682318896563096</c:v>
                  </c:pt>
                  <c:pt idx="1">
                    <c:v>3.9523934699640111</c:v>
                  </c:pt>
                  <c:pt idx="2">
                    <c:v>9.9892619114403766E-2</c:v>
                  </c:pt>
                  <c:pt idx="3">
                    <c:v>0.8030759599656484</c:v>
                  </c:pt>
                  <c:pt idx="4">
                    <c:v>1.6926894765849452</c:v>
                  </c:pt>
                  <c:pt idx="5">
                    <c:v>0.60627568153456546</c:v>
                  </c:pt>
                  <c:pt idx="6">
                    <c:v>7.2662867046895077</c:v>
                  </c:pt>
                  <c:pt idx="7">
                    <c:v>0.12894580335171901</c:v>
                  </c:pt>
                  <c:pt idx="8">
                    <c:v>2.5487899188644509</c:v>
                  </c:pt>
                  <c:pt idx="9">
                    <c:v>2.4694330822022184</c:v>
                  </c:pt>
                  <c:pt idx="10">
                    <c:v>11.242033498069516</c:v>
                  </c:pt>
                  <c:pt idx="11">
                    <c:v>1.460254146276309</c:v>
                  </c:pt>
                  <c:pt idx="12">
                    <c:v>5.8207846628190092</c:v>
                  </c:pt>
                  <c:pt idx="13">
                    <c:v>4.1045883109052674</c:v>
                  </c:pt>
                  <c:pt idx="14">
                    <c:v>4.3565425952053287</c:v>
                  </c:pt>
                  <c:pt idx="15">
                    <c:v>1.2592891964529163</c:v>
                  </c:pt>
                  <c:pt idx="16">
                    <c:v>1.898437688354726</c:v>
                  </c:pt>
                  <c:pt idx="17">
                    <c:v>1.4904597284127461</c:v>
                  </c:pt>
                </c:numCache>
              </c:numRef>
            </c:minus>
            <c:spPr>
              <a:ln w="15875" cap="rnd"/>
            </c:spPr>
          </c:errBars>
          <c:cat>
            <c:strRef>
              <c:f>[1]Plots!$B$2:$B$19</c:f>
              <c:strCache>
                <c:ptCount val="18"/>
                <c:pt idx="0">
                  <c:v>CD4+</c:v>
                </c:pt>
                <c:pt idx="1">
                  <c:v>CD8+</c:v>
                </c:pt>
                <c:pt idx="2">
                  <c:v>Treg</c:v>
                </c:pt>
                <c:pt idx="3">
                  <c:v>NK</c:v>
                </c:pt>
                <c:pt idx="4">
                  <c:v>NKT</c:v>
                </c:pt>
                <c:pt idx="5">
                  <c:v>non-T</c:v>
                </c:pt>
                <c:pt idx="6">
                  <c:v>Activated</c:v>
                </c:pt>
                <c:pt idx="7">
                  <c:v>Naïve </c:v>
                </c:pt>
                <c:pt idx="8">
                  <c:v>TCM</c:v>
                </c:pt>
                <c:pt idx="9">
                  <c:v>TEM </c:v>
                </c:pt>
                <c:pt idx="10">
                  <c:v>CD25+</c:v>
                </c:pt>
                <c:pt idx="11">
                  <c:v>CD27+</c:v>
                </c:pt>
                <c:pt idx="12">
                  <c:v>CD69+</c:v>
                </c:pt>
                <c:pt idx="13">
                  <c:v>Ki67+</c:v>
                </c:pt>
                <c:pt idx="14">
                  <c:v>TCF1+</c:v>
                </c:pt>
                <c:pt idx="15">
                  <c:v>CTLA4+</c:v>
                </c:pt>
                <c:pt idx="16">
                  <c:v>PD1+</c:v>
                </c:pt>
                <c:pt idx="17">
                  <c:v>Foxp3+</c:v>
                </c:pt>
              </c:strCache>
            </c:strRef>
          </c:cat>
          <c:val>
            <c:numRef>
              <c:f>[1]Plots!$D$2:$D$19</c:f>
              <c:numCache>
                <c:formatCode>General</c:formatCode>
                <c:ptCount val="18"/>
                <c:pt idx="0">
                  <c:v>40.783333333333331</c:v>
                </c:pt>
                <c:pt idx="1">
                  <c:v>51.833333333333336</c:v>
                </c:pt>
                <c:pt idx="2">
                  <c:v>0.45833333333333343</c:v>
                </c:pt>
                <c:pt idx="3">
                  <c:v>1.9208333333333334</c:v>
                </c:pt>
                <c:pt idx="4">
                  <c:v>6.190833333333333</c:v>
                </c:pt>
                <c:pt idx="5">
                  <c:v>1.8066666666666669</c:v>
                </c:pt>
                <c:pt idx="6">
                  <c:v>30.508333333333329</c:v>
                </c:pt>
                <c:pt idx="7">
                  <c:v>0.77166666666666694</c:v>
                </c:pt>
                <c:pt idx="8">
                  <c:v>13.228333333333333</c:v>
                </c:pt>
                <c:pt idx="9">
                  <c:v>83.99166666666666</c:v>
                </c:pt>
                <c:pt idx="10">
                  <c:v>59.793333333333344</c:v>
                </c:pt>
                <c:pt idx="11">
                  <c:v>28.841666666666669</c:v>
                </c:pt>
                <c:pt idx="12">
                  <c:v>64.525000000000006</c:v>
                </c:pt>
                <c:pt idx="13">
                  <c:v>34.408333333333339</c:v>
                </c:pt>
                <c:pt idx="14">
                  <c:v>31.108333333333334</c:v>
                </c:pt>
                <c:pt idx="15">
                  <c:v>5.3274999999999997</c:v>
                </c:pt>
                <c:pt idx="16">
                  <c:v>29.183333333333337</c:v>
                </c:pt>
                <c:pt idx="17">
                  <c:v>13.923333333333334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45-4792-81CC-E6B88A981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5"/>
        <c:axId val="1962393264"/>
        <c:axId val="1"/>
      </c:barChart>
      <c:catAx>
        <c:axId val="196239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2700000" vert="horz"/>
          <a:lstStyle/>
          <a:p>
            <a:pPr>
              <a:defRPr/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>
              <a:solidFill>
                <a:srgbClr val="E8E8E8">
                  <a:lumMod val="75000"/>
                </a:srgbClr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 of CD3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vert="horz"/>
          <a:lstStyle/>
          <a:p>
            <a:pPr>
              <a:defRPr sz="1200"/>
            </a:pPr>
            <a:endParaRPr lang="en-US"/>
          </a:p>
        </c:txPr>
        <c:crossAx val="1962393264"/>
        <c:crosses val="autoZero"/>
        <c:crossBetween val="between"/>
        <c:maj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9245309862831035"/>
          <c:y val="4.0534042061896008E-2"/>
          <c:w val="9.2713448088207917E-2"/>
          <c:h val="0.13897376966404623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_xlchart.v1.3</cx:f>
      </cx:numDim>
    </cx:data>
  </cx:chartData>
  <cx:chart>
    <cx:title pos="t" align="ctr" overlay="0">
      <cx:tx>
        <cx:txData>
          <cx:v>Overall Reactivity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 b="1">
              <a:solidFill>
                <a:sysClr val="windowText" lastClr="000000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r>
            <a:rPr lang="en-US" sz="12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Overall Reactivity</a:t>
          </a:r>
        </a:p>
      </cx:txPr>
    </cx:title>
    <cx:plotArea>
      <cx:plotAreaRegion>
        <cx:series layoutId="boxWhisker" uniqueId="{00000002-6B93-415A-82D8-DEF65C8AF2D5}" formatIdx="1">
          <cx:tx>
            <cx:txData>
              <cx:f/>
              <cx:v>Veh</cx:v>
            </cx:txData>
          </cx:tx>
          <cx:spPr>
            <a:solidFill>
              <a:schemeClr val="tx1">
                <a:lumMod val="50000"/>
                <a:lumOff val="50000"/>
              </a:schemeClr>
            </a:solidFill>
            <a:ln w="28575">
              <a:solidFill>
                <a:schemeClr val="tx1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4-6B93-415A-82D8-DEF65C8AF2D5}" formatIdx="3">
          <cx:tx>
            <cx:txData>
              <cx:f/>
              <cx:v>Val</cx:v>
            </cx:txData>
          </cx:tx>
          <cx:spPr>
            <a:solidFill>
              <a:srgbClr val="2D7FCF"/>
            </a:solidFill>
            <a:ln w="28575">
              <a:solidFill>
                <a:schemeClr val="tx1"/>
              </a:solidFill>
            </a:ln>
          </cx:spPr>
          <cx:dataId val="1"/>
          <cx:layoutPr>
            <cx:statistics quartileMethod="exclusive"/>
          </cx:layoutPr>
        </cx:series>
      </cx:plotAreaRegion>
      <cx:axis id="0" hidden="1">
        <cx:catScaling gapWidth="0.5"/>
        <cx:tickLabels/>
      </cx:axis>
      <cx:axis id="1">
        <cx:valScaling max="60" min="-20"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 b="1"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0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</cx:chartData>
  <cx:chart>
    <cx:title pos="t" align="ctr" overlay="0">
      <cx:tx>
        <cx:txData>
          <cx:v>Pt 1 Reactivity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 b="1">
              <a:solidFill>
                <a:sysClr val="windowText" lastClr="000000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r>
            <a:rPr lang="en-US" sz="12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Pt 1 Reactivity</a:t>
          </a:r>
        </a:p>
      </cx:txPr>
    </cx:title>
    <cx:plotArea>
      <cx:plotAreaRegion>
        <cx:series layoutId="boxWhisker" uniqueId="{00000002-6B93-415A-82D8-DEF65C8AF2D5}" formatIdx="1">
          <cx:tx>
            <cx:txData>
              <cx:f/>
              <cx:v>Veh</cx:v>
            </cx:txData>
          </cx:tx>
          <cx:spPr>
            <a:solidFill>
              <a:schemeClr val="tx1">
                <a:lumMod val="50000"/>
                <a:lumOff val="50000"/>
              </a:schemeClr>
            </a:solidFill>
            <a:ln w="28575">
              <a:solidFill>
                <a:schemeClr val="tx1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4-6B93-415A-82D8-DEF65C8AF2D5}" formatIdx="3">
          <cx:tx>
            <cx:txData>
              <cx:f/>
              <cx:v>Val</cx:v>
            </cx:txData>
          </cx:tx>
          <cx:spPr>
            <a:solidFill>
              <a:srgbClr val="2D7FCF"/>
            </a:solidFill>
            <a:ln w="28575">
              <a:solidFill>
                <a:schemeClr val="tx1"/>
              </a:solidFill>
            </a:ln>
          </cx:spPr>
          <cx:dataId val="1"/>
          <cx:layoutPr>
            <cx:statistics quartileMethod="exclusive"/>
          </cx:layoutPr>
        </cx:series>
      </cx:plotAreaRegion>
      <cx:axis id="0" hidden="1">
        <cx:catScaling gapWidth="0.5"/>
        <cx:tickLabels/>
      </cx:axis>
      <cx:axis id="1">
        <cx:valScaling max="60" min="-20"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 b="1"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0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  <cx:data id="1">
      <cx:numDim type="val">
        <cx:f>_xlchart.v1.5</cx:f>
      </cx:numDim>
    </cx:data>
  </cx:chartData>
  <cx:chart>
    <cx:title pos="t" align="ctr" overlay="0">
      <cx:tx>
        <cx:txData>
          <cx:v>Pt 2 Reactivity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 b="1">
              <a:solidFill>
                <a:sysClr val="windowText" lastClr="000000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r>
            <a:rPr lang="en-US" sz="12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Pt 2 Reactivity</a:t>
          </a:r>
        </a:p>
      </cx:txPr>
    </cx:title>
    <cx:plotArea>
      <cx:plotAreaRegion>
        <cx:series layoutId="boxWhisker" uniqueId="{00000002-6B93-415A-82D8-DEF65C8AF2D5}" formatIdx="1">
          <cx:tx>
            <cx:txData>
              <cx:f/>
              <cx:v>Veh</cx:v>
            </cx:txData>
          </cx:tx>
          <cx:spPr>
            <a:solidFill>
              <a:schemeClr val="tx1">
                <a:lumMod val="50000"/>
                <a:lumOff val="50000"/>
              </a:schemeClr>
            </a:solidFill>
            <a:ln w="28575">
              <a:solidFill>
                <a:schemeClr val="tx1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4-6B93-415A-82D8-DEF65C8AF2D5}" formatIdx="3">
          <cx:tx>
            <cx:txData>
              <cx:f/>
              <cx:v>Val</cx:v>
            </cx:txData>
          </cx:tx>
          <cx:spPr>
            <a:solidFill>
              <a:srgbClr val="2D7FCF"/>
            </a:solidFill>
            <a:ln w="28575">
              <a:solidFill>
                <a:schemeClr val="tx1"/>
              </a:solidFill>
            </a:ln>
          </cx:spPr>
          <cx:dataId val="1"/>
          <cx:layoutPr>
            <cx:statistics quartileMethod="exclusive"/>
          </cx:layoutPr>
        </cx:series>
      </cx:plotAreaRegion>
      <cx:axis id="0" hidden="1">
        <cx:catScaling gapWidth="0.5"/>
        <cx:tickLabels/>
      </cx:axis>
      <cx:axis id="1">
        <cx:valScaling max="60" min="-20"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 b="1"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0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>
      <cx:numDim type="val">
        <cx:f>_xlchart.v1.7</cx:f>
      </cx:numDim>
    </cx:data>
    <cx:data id="2">
      <cx:numDim type="val">
        <cx:f>_xlchart.v1.9</cx:f>
      </cx:numDim>
    </cx:data>
    <cx:data id="3">
      <cx:numDim type="val">
        <cx:f>_xlchart.v1.11</cx:f>
      </cx:numDim>
    </cx:data>
  </cx:chartData>
  <cx:chart>
    <cx:title pos="t" align="ctr" overlay="0">
      <cx:tx>
        <cx:txData>
          <cx:v>Pt 2 Reactivity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 b="1">
              <a:solidFill>
                <a:sysClr val="windowText" lastClr="000000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r>
            <a:rPr lang="en-US" sz="12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Pt 2 Reactivity</a:t>
          </a:r>
        </a:p>
      </cx:txPr>
    </cx:title>
    <cx:plotArea>
      <cx:plotAreaRegion>
        <cx:series layoutId="boxWhisker" uniqueId="{00000001-6B93-415A-82D8-DEF65C8AF2D5}">
          <cx:tx>
            <cx:txData>
              <cx:f>_xlchart.v1.12</cx:f>
              <cx:v>P-MHC</cx:v>
            </cx:txData>
          </cx:tx>
          <cx:spPr>
            <a:solidFill>
              <a:schemeClr val="bg2">
                <a:lumMod val="90000"/>
              </a:schemeClr>
            </a:solidFill>
            <a:ln w="28575">
              <a:solidFill>
                <a:schemeClr val="tx1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2-6B93-415A-82D8-DEF65C8AF2D5}">
          <cx:tx>
            <cx:txData>
              <cx:f>_xlchart.v1.6</cx:f>
              <cx:v>Parental</cx:v>
            </cx:txData>
          </cx:tx>
          <cx:spPr>
            <a:solidFill>
              <a:schemeClr val="tx1">
                <a:lumMod val="50000"/>
                <a:lumOff val="50000"/>
              </a:schemeClr>
            </a:solidFill>
            <a:ln w="28575">
              <a:solidFill>
                <a:schemeClr val="tx1"/>
              </a:solidFill>
            </a:ln>
          </cx:spPr>
          <cx:dataId val="1"/>
          <cx:layoutPr>
            <cx:statistics quartileMethod="exclusive"/>
          </cx:layoutPr>
        </cx:series>
        <cx:series layoutId="boxWhisker" uniqueId="{00000003-6B93-415A-82D8-DEF65C8AF2D5}">
          <cx:tx>
            <cx:txData>
              <cx:f>_xlchart.v1.8</cx:f>
              <cx:v>E-MHC</cx:v>
            </cx:txData>
          </cx:tx>
          <cx:spPr>
            <a:solidFill>
              <a:schemeClr val="accent1">
                <a:lumMod val="40000"/>
                <a:lumOff val="60000"/>
              </a:schemeClr>
            </a:solidFill>
            <a:ln w="28575">
              <a:solidFill>
                <a:schemeClr val="tx1"/>
              </a:solidFill>
            </a:ln>
          </cx:spPr>
          <cx:dataId val="2"/>
          <cx:layoutPr>
            <cx:statistics quartileMethod="exclusive"/>
          </cx:layoutPr>
        </cx:series>
        <cx:series layoutId="boxWhisker" uniqueId="{00000004-6B93-415A-82D8-DEF65C8AF2D5}">
          <cx:tx>
            <cx:txData>
              <cx:f>_xlchart.v1.10</cx:f>
              <cx:v>Exposed</cx:v>
            </cx:txData>
          </cx:tx>
          <cx:spPr>
            <a:solidFill>
              <a:srgbClr val="2D7FCF"/>
            </a:solidFill>
            <a:ln w="28575">
              <a:solidFill>
                <a:schemeClr val="tx1"/>
              </a:solidFill>
            </a:ln>
          </cx:spPr>
          <cx:dataId val="3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900"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 b="1"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0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</cx:f>
      </cx:numDim>
    </cx:data>
    <cx:data id="1">
      <cx:numDim type="val">
        <cx:f>_xlchart.v1.15</cx:f>
      </cx:numDim>
    </cx:data>
  </cx:chartData>
  <cx:chart>
    <cx:title pos="t" align="ctr" overlay="0">
      <cx:tx>
        <cx:txData>
          <cx:v>Pt 1 Reactivity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 b="1">
              <a:solidFill>
                <a:sysClr val="windowText" lastClr="000000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r>
            <a:rPr lang="en-US" sz="12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Pt 1 Reactivity</a:t>
          </a:r>
        </a:p>
      </cx:txPr>
    </cx:title>
    <cx:plotArea>
      <cx:plotAreaRegion>
        <cx:series layoutId="boxWhisker" uniqueId="{4BCB88B8-39FB-4C4B-B434-2870A4445B21}">
          <cx:tx>
            <cx:txData>
              <cx:f/>
              <cx:v>Veh</cx:v>
            </cx:txData>
          </cx:tx>
          <cx:spPr>
            <a:solidFill>
              <a:schemeClr val="tx1">
                <a:lumMod val="50000"/>
                <a:lumOff val="50000"/>
              </a:schemeClr>
            </a:solidFill>
            <a:ln w="28575">
              <a:solidFill>
                <a:schemeClr val="tx1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19C96AF7-A72E-419F-8EB5-9519E38FE1A2}">
          <cx:tx>
            <cx:txData>
              <cx:f/>
              <cx:v>Val</cx:v>
            </cx:txData>
          </cx:tx>
          <cx:spPr>
            <a:solidFill>
              <a:srgbClr val="2D7FCF"/>
            </a:solidFill>
            <a:ln w="28575">
              <a:solidFill>
                <a:schemeClr val="tx1"/>
              </a:solidFill>
            </a:ln>
          </cx:spPr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900"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 b="1"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0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  <cx:data id="1">
      <cx:numDim type="val">
        <cx:f>_xlchart.v1.19</cx:f>
      </cx:numDim>
    </cx:data>
    <cx:data id="2">
      <cx:numDim type="val">
        <cx:f>_xlchart.v1.21</cx:f>
      </cx:numDim>
    </cx:data>
    <cx:data id="3">
      <cx:numDim type="val">
        <cx:f>_xlchart.v1.23</cx:f>
      </cx:numDim>
    </cx:data>
  </cx:chartData>
  <cx:chart>
    <cx:title pos="t" align="ctr" overlay="0">
      <cx:tx>
        <cx:txData>
          <cx:v>Overall Reactivity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 b="1">
              <a:solidFill>
                <a:sysClr val="windowText" lastClr="000000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r>
            <a:rPr lang="en-US" sz="12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Overall Reactivity</a:t>
          </a:r>
        </a:p>
      </cx:txPr>
    </cx:title>
    <cx:plotArea>
      <cx:plotAreaRegion>
        <cx:series layoutId="boxWhisker" uniqueId="{00000001-6B93-415A-82D8-DEF65C8AF2D5}" formatIdx="0">
          <cx:tx>
            <cx:txData>
              <cx:f>_xlchart.v1.16</cx:f>
              <cx:v>P-MHC</cx:v>
            </cx:txData>
          </cx:tx>
          <cx:spPr>
            <a:solidFill>
              <a:schemeClr val="bg2">
                <a:lumMod val="90000"/>
              </a:schemeClr>
            </a:solidFill>
            <a:ln w="28575">
              <a:solidFill>
                <a:schemeClr val="tx1"/>
              </a:solidFill>
            </a:ln>
          </cx:spPr>
          <cx:dataId val="0"/>
          <cx:layoutPr>
            <cx:statistics quartileMethod="exclusive"/>
          </cx:layoutPr>
        </cx:series>
        <cx:series layoutId="boxWhisker" uniqueId="{00000002-6B93-415A-82D8-DEF65C8AF2D5}" formatIdx="1">
          <cx:tx>
            <cx:txData>
              <cx:f>_xlchart.v1.18</cx:f>
              <cx:v>Parental</cx:v>
            </cx:txData>
          </cx:tx>
          <cx:spPr>
            <a:solidFill>
              <a:schemeClr val="tx1">
                <a:lumMod val="50000"/>
                <a:lumOff val="50000"/>
              </a:schemeClr>
            </a:solidFill>
            <a:ln w="28575">
              <a:solidFill>
                <a:schemeClr val="tx1"/>
              </a:solidFill>
            </a:ln>
          </cx:spPr>
          <cx:dataId val="1"/>
          <cx:layoutPr>
            <cx:statistics quartileMethod="exclusive"/>
          </cx:layoutPr>
        </cx:series>
        <cx:series layoutId="boxWhisker" uniqueId="{00000003-6B93-415A-82D8-DEF65C8AF2D5}" formatIdx="2">
          <cx:tx>
            <cx:txData>
              <cx:f>_xlchart.v1.20</cx:f>
              <cx:v>E-MHC</cx:v>
            </cx:txData>
          </cx:tx>
          <cx:spPr>
            <a:solidFill>
              <a:schemeClr val="accent1">
                <a:lumMod val="40000"/>
                <a:lumOff val="60000"/>
              </a:schemeClr>
            </a:solidFill>
            <a:ln w="28575">
              <a:solidFill>
                <a:schemeClr val="tx1"/>
              </a:solidFill>
            </a:ln>
          </cx:spPr>
          <cx:dataId val="2"/>
          <cx:layoutPr>
            <cx:statistics quartileMethod="exclusive"/>
          </cx:layoutPr>
        </cx:series>
        <cx:series layoutId="boxWhisker" uniqueId="{00000004-6B93-415A-82D8-DEF65C8AF2D5}" formatIdx="3">
          <cx:tx>
            <cx:txData>
              <cx:f>_xlchart.v1.22</cx:f>
              <cx:v>Exposed</cx:v>
            </cx:txData>
          </cx:tx>
          <cx:spPr>
            <a:solidFill>
              <a:srgbClr val="2D7FCF"/>
            </a:solidFill>
            <a:ln w="28575">
              <a:solidFill>
                <a:schemeClr val="tx1"/>
              </a:solidFill>
            </a:ln>
          </cx:spPr>
          <cx:dataId val="3"/>
          <cx:layoutPr>
            <cx:statistics quartileMethod="exclusive"/>
          </cx:layoutPr>
        </cx:series>
      </cx:plotAreaRegion>
      <cx:axis id="0" hidden="1">
        <cx:catScaling gapWidth="0.5"/>
        <cx:tickLabels/>
      </cx:axis>
      <cx:axis id="1">
        <cx:valScaling max="900"/>
        <cx:majorGridlines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 b="1"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000" b="1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openxmlformats.org/officeDocument/2006/relationships/chart" Target="../charts/chart3.xml"/><Relationship Id="rId5" Type="http://schemas.microsoft.com/office/2014/relationships/chartEx" Target="../charts/chartEx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6.xml"/><Relationship Id="rId2" Type="http://schemas.microsoft.com/office/2014/relationships/chartEx" Target="../charts/chartEx5.xml"/><Relationship Id="rId1" Type="http://schemas.microsoft.com/office/2014/relationships/chartEx" Target="../charts/chartEx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31</xdr:row>
      <xdr:rowOff>9525</xdr:rowOff>
    </xdr:from>
    <xdr:to>
      <xdr:col>6</xdr:col>
      <xdr:colOff>361950</xdr:colOff>
      <xdr:row>45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D7004501-32AD-4F88-BEF5-A98AD56D03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00275" y="5915025"/>
              <a:ext cx="15716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9525</xdr:colOff>
      <xdr:row>31</xdr:row>
      <xdr:rowOff>0</xdr:rowOff>
    </xdr:from>
    <xdr:to>
      <xdr:col>9</xdr:col>
      <xdr:colOff>361950</xdr:colOff>
      <xdr:row>45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C521D6DE-114F-4FEE-A00A-7D15DF92B3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29075" y="5905500"/>
              <a:ext cx="15716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4763</xdr:colOff>
      <xdr:row>19</xdr:row>
      <xdr:rowOff>28575</xdr:rowOff>
    </xdr:from>
    <xdr:to>
      <xdr:col>10</xdr:col>
      <xdr:colOff>19051</xdr:colOff>
      <xdr:row>29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EBA7981-B1E9-54C7-E998-EB7E6450F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28575</xdr:colOff>
      <xdr:row>19</xdr:row>
      <xdr:rowOff>19050</xdr:rowOff>
    </xdr:from>
    <xdr:to>
      <xdr:col>4</xdr:col>
      <xdr:colOff>114300</xdr:colOff>
      <xdr:row>28</xdr:row>
      <xdr:rowOff>38100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6E24954-F9DC-4EBC-B24E-E81D061DD2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31</xdr:row>
      <xdr:rowOff>9525</xdr:rowOff>
    </xdr:from>
    <xdr:to>
      <xdr:col>12</xdr:col>
      <xdr:colOff>352425</xdr:colOff>
      <xdr:row>45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75982349-6C6C-4DF3-ABC1-AB0B33DBAF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48350" y="5915025"/>
              <a:ext cx="15716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0</xdr:colOff>
      <xdr:row>19</xdr:row>
      <xdr:rowOff>0</xdr:rowOff>
    </xdr:from>
    <xdr:to>
      <xdr:col>19</xdr:col>
      <xdr:colOff>14288</xdr:colOff>
      <xdr:row>29</xdr:row>
      <xdr:rowOff>9525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A6FE332-3A90-4445-A21C-651F500254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15</xdr:row>
      <xdr:rowOff>9525</xdr:rowOff>
    </xdr:from>
    <xdr:to>
      <xdr:col>29</xdr:col>
      <xdr:colOff>0</xdr:colOff>
      <xdr:row>32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35D0C4D2-A5FF-46DE-95CF-1FD0E128B6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11525" y="2466975"/>
              <a:ext cx="25908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476250</xdr:colOff>
      <xdr:row>15</xdr:row>
      <xdr:rowOff>0</xdr:rowOff>
    </xdr:from>
    <xdr:to>
      <xdr:col>23</xdr:col>
      <xdr:colOff>180975</xdr:colOff>
      <xdr:row>31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BE47C2A6-1A9E-4C58-AA53-9CA560584F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39775" y="2457450"/>
              <a:ext cx="15335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590550</xdr:colOff>
      <xdr:row>15</xdr:row>
      <xdr:rowOff>0</xdr:rowOff>
    </xdr:from>
    <xdr:to>
      <xdr:col>19</xdr:col>
      <xdr:colOff>28575</xdr:colOff>
      <xdr:row>33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124996CF-4B8C-4BD0-A9B4-7F8D541828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96475" y="2457450"/>
              <a:ext cx="2486025" cy="2990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38099</xdr:colOff>
      <xdr:row>0</xdr:row>
      <xdr:rowOff>133349</xdr:rowOff>
    </xdr:from>
    <xdr:to>
      <xdr:col>49</xdr:col>
      <xdr:colOff>378617</xdr:colOff>
      <xdr:row>19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E4F2C1-1CA1-4284-AE0B-E644C04FD5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uky-my.sharepoint.com/personal/drpl222_uky_edu/Documents/TIL%20work/Flow/FCIM_026_10092025-same%20controls/Combos%20and%20singles%20joint%201-22-26.xlsx" TargetMode="External"/><Relationship Id="rId1" Type="http://schemas.openxmlformats.org/officeDocument/2006/relationships/externalLinkPath" Target="/personal/drpl222_uky_edu/Documents/TIL%20work/Flow/FCIM_026_10092025-same%20controls/Combos%20and%20singles%20joint%201-22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bos 1-22-26"/>
      <sheetName val="Singles 1-22-26"/>
      <sheetName val="Horiz"/>
      <sheetName val="Vert"/>
      <sheetName val="Plots"/>
    </sheetNames>
    <sheetDataSet>
      <sheetData sheetId="0"/>
      <sheetData sheetId="1"/>
      <sheetData sheetId="2"/>
      <sheetData sheetId="3"/>
      <sheetData sheetId="4">
        <row r="2">
          <cell r="B2" t="str">
            <v>CD4+</v>
          </cell>
          <cell r="C2">
            <v>54.725000000000001</v>
          </cell>
          <cell r="D2">
            <v>40.783333333333331</v>
          </cell>
          <cell r="E2">
            <v>3.6462750814628491</v>
          </cell>
          <cell r="F2">
            <v>4.7682318896563096</v>
          </cell>
        </row>
        <row r="3">
          <cell r="B3" t="str">
            <v>CD8+</v>
          </cell>
          <cell r="C3">
            <v>39.65</v>
          </cell>
          <cell r="D3">
            <v>51.833333333333336</v>
          </cell>
          <cell r="E3">
            <v>3.2607746802181121</v>
          </cell>
          <cell r="F3">
            <v>3.9523934699640111</v>
          </cell>
        </row>
        <row r="4">
          <cell r="B4" t="str">
            <v>Treg</v>
          </cell>
          <cell r="C4">
            <v>0.11133333333333333</v>
          </cell>
          <cell r="D4">
            <v>0.45833333333333343</v>
          </cell>
          <cell r="E4">
            <v>1.8956622466925269E-2</v>
          </cell>
          <cell r="F4">
            <v>9.9892619114403766E-2</v>
          </cell>
        </row>
        <row r="5">
          <cell r="B5" t="str">
            <v>NK</v>
          </cell>
          <cell r="C5">
            <v>1.8346666666666664</v>
          </cell>
          <cell r="D5">
            <v>1.9208333333333334</v>
          </cell>
          <cell r="E5">
            <v>1.0268251845353034</v>
          </cell>
          <cell r="F5">
            <v>0.8030759599656484</v>
          </cell>
        </row>
        <row r="6">
          <cell r="B6" t="str">
            <v>NKT</v>
          </cell>
          <cell r="C6">
            <v>0.44333333333333319</v>
          </cell>
          <cell r="D6">
            <v>6.190833333333333</v>
          </cell>
          <cell r="E6">
            <v>0.16963567616000658</v>
          </cell>
          <cell r="F6">
            <v>1.6926894765849452</v>
          </cell>
        </row>
        <row r="7">
          <cell r="B7" t="str">
            <v>non-T</v>
          </cell>
          <cell r="C7">
            <v>1.9683333333333335</v>
          </cell>
          <cell r="D7">
            <v>1.8066666666666669</v>
          </cell>
          <cell r="E7">
            <v>1.1862564195524057</v>
          </cell>
          <cell r="F7">
            <v>0.60627568153456546</v>
          </cell>
        </row>
        <row r="8">
          <cell r="B8" t="str">
            <v>Activated</v>
          </cell>
          <cell r="C8">
            <v>42.678333333333335</v>
          </cell>
          <cell r="D8">
            <v>30.508333333333329</v>
          </cell>
          <cell r="E8">
            <v>7.0280762522955591</v>
          </cell>
          <cell r="F8">
            <v>7.2662867046895077</v>
          </cell>
        </row>
        <row r="9">
          <cell r="B9" t="str">
            <v xml:space="preserve">Naïve </v>
          </cell>
          <cell r="C9">
            <v>2.1633333333333331</v>
          </cell>
          <cell r="D9">
            <v>0.77166666666666694</v>
          </cell>
          <cell r="E9">
            <v>0.65821537109632644</v>
          </cell>
          <cell r="F9">
            <v>0.12894580335171901</v>
          </cell>
        </row>
        <row r="10">
          <cell r="B10" t="str">
            <v>TCM</v>
          </cell>
          <cell r="C10">
            <v>37.15</v>
          </cell>
          <cell r="D10">
            <v>13.228333333333333</v>
          </cell>
          <cell r="E10">
            <v>4.6035477096638759</v>
          </cell>
          <cell r="F10">
            <v>2.5487899188644509</v>
          </cell>
        </row>
        <row r="11">
          <cell r="B11" t="str">
            <v xml:space="preserve">TEM </v>
          </cell>
          <cell r="C11">
            <v>59.65</v>
          </cell>
          <cell r="D11">
            <v>83.99166666666666</v>
          </cell>
          <cell r="E11">
            <v>4.1942511160208902</v>
          </cell>
          <cell r="F11">
            <v>2.4694330822022184</v>
          </cell>
        </row>
        <row r="12">
          <cell r="B12" t="str">
            <v>CD25+</v>
          </cell>
          <cell r="C12">
            <v>52.333333333333336</v>
          </cell>
          <cell r="D12">
            <v>59.793333333333344</v>
          </cell>
          <cell r="E12">
            <v>7.2624014449405623</v>
          </cell>
          <cell r="F12">
            <v>11.242033498069516</v>
          </cell>
        </row>
        <row r="13">
          <cell r="B13" t="str">
            <v>CD27+</v>
          </cell>
          <cell r="C13">
            <v>24.299999999999997</v>
          </cell>
          <cell r="D13">
            <v>28.841666666666669</v>
          </cell>
          <cell r="E13">
            <v>3.2843522492220152</v>
          </cell>
          <cell r="F13">
            <v>1.460254146276309</v>
          </cell>
        </row>
        <row r="14">
          <cell r="B14" t="str">
            <v>CD69+</v>
          </cell>
          <cell r="C14">
            <v>72.408333333333331</v>
          </cell>
          <cell r="D14">
            <v>64.525000000000006</v>
          </cell>
          <cell r="E14">
            <v>4.5861527141136289</v>
          </cell>
          <cell r="F14">
            <v>5.8207846628190092</v>
          </cell>
        </row>
        <row r="15">
          <cell r="B15" t="str">
            <v>Ki67+</v>
          </cell>
          <cell r="C15">
            <v>68.083333333333343</v>
          </cell>
          <cell r="D15">
            <v>34.408333333333339</v>
          </cell>
          <cell r="E15">
            <v>5.8868218689859759</v>
          </cell>
          <cell r="F15">
            <v>4.1045883109052674</v>
          </cell>
        </row>
        <row r="16">
          <cell r="B16" t="str">
            <v>TCF1+</v>
          </cell>
          <cell r="C16">
            <v>33.083333333333336</v>
          </cell>
          <cell r="D16">
            <v>31.108333333333334</v>
          </cell>
          <cell r="E16">
            <v>2.9374497631638019</v>
          </cell>
          <cell r="F16">
            <v>4.3565425952053287</v>
          </cell>
        </row>
        <row r="17">
          <cell r="B17" t="str">
            <v>CTLA4+</v>
          </cell>
          <cell r="C17">
            <v>1.2283333333333333</v>
          </cell>
          <cell r="D17">
            <v>5.3274999999999997</v>
          </cell>
          <cell r="E17">
            <v>0.22759890734856936</v>
          </cell>
          <cell r="F17">
            <v>1.2592891964529163</v>
          </cell>
        </row>
        <row r="18">
          <cell r="B18" t="str">
            <v>PD1+</v>
          </cell>
          <cell r="C18">
            <v>22.044166666666666</v>
          </cell>
          <cell r="D18">
            <v>29.183333333333337</v>
          </cell>
          <cell r="E18">
            <v>4.3959027856067365</v>
          </cell>
          <cell r="F18">
            <v>1.898437688354726</v>
          </cell>
        </row>
        <row r="19">
          <cell r="B19" t="str">
            <v>Foxp3+</v>
          </cell>
          <cell r="C19">
            <v>7.2849999999999993</v>
          </cell>
          <cell r="D19">
            <v>13.923333333333334</v>
          </cell>
          <cell r="E19">
            <v>1.0408362750765139</v>
          </cell>
          <cell r="F19">
            <v>1.4904597284127461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89655-97F9-474B-BFBF-DC24C8590F00}">
  <dimension ref="A1:U50"/>
  <sheetViews>
    <sheetView topLeftCell="A13" zoomScaleNormal="100" workbookViewId="0">
      <selection activeCell="L28" sqref="L28"/>
    </sheetView>
  </sheetViews>
  <sheetFormatPr defaultRowHeight="15" x14ac:dyDescent="0.25"/>
  <cols>
    <col min="1" max="1" width="5.42578125" style="1" bestFit="1" customWidth="1"/>
    <col min="2" max="16384" width="9.140625" style="1"/>
  </cols>
  <sheetData>
    <row r="1" spans="1:21" x14ac:dyDescent="0.25">
      <c r="C1" s="41" t="s">
        <v>14</v>
      </c>
      <c r="D1" s="42"/>
      <c r="E1" s="42"/>
      <c r="F1" s="42"/>
      <c r="G1" s="42"/>
      <c r="H1" s="43"/>
      <c r="I1" s="41" t="s">
        <v>15</v>
      </c>
      <c r="J1" s="42"/>
      <c r="K1" s="42"/>
      <c r="L1" s="42"/>
      <c r="M1" s="42"/>
      <c r="N1" s="43"/>
    </row>
    <row r="2" spans="1:21" x14ac:dyDescent="0.25">
      <c r="C2" s="48" t="s">
        <v>12</v>
      </c>
      <c r="D2" s="48"/>
      <c r="E2" s="49"/>
      <c r="F2" s="51" t="s">
        <v>13</v>
      </c>
      <c r="G2" s="52"/>
      <c r="H2" s="53"/>
      <c r="I2" s="50" t="s">
        <v>12</v>
      </c>
      <c r="J2" s="48"/>
      <c r="K2" s="49"/>
      <c r="L2" s="54" t="s">
        <v>13</v>
      </c>
      <c r="M2" s="55"/>
      <c r="N2" s="55"/>
    </row>
    <row r="3" spans="1:21" x14ac:dyDescent="0.25">
      <c r="C3" s="11">
        <v>1</v>
      </c>
      <c r="D3" s="11">
        <v>2</v>
      </c>
      <c r="E3" s="12">
        <v>3</v>
      </c>
      <c r="F3" s="5">
        <v>4</v>
      </c>
      <c r="G3" s="5">
        <v>5</v>
      </c>
      <c r="H3" s="6">
        <v>6</v>
      </c>
      <c r="I3" s="14">
        <v>7</v>
      </c>
      <c r="J3" s="11">
        <v>8</v>
      </c>
      <c r="K3" s="12">
        <v>9</v>
      </c>
      <c r="L3" s="4">
        <v>10</v>
      </c>
      <c r="M3" s="4">
        <v>11</v>
      </c>
      <c r="N3" s="4">
        <v>12</v>
      </c>
    </row>
    <row r="4" spans="1:21" x14ac:dyDescent="0.25">
      <c r="A4" s="44" t="s">
        <v>9</v>
      </c>
      <c r="B4" s="8" t="s">
        <v>0</v>
      </c>
      <c r="C4" s="1">
        <v>97.078279999999978</v>
      </c>
      <c r="D4" s="1">
        <v>22.972670000000004</v>
      </c>
      <c r="E4" s="13">
        <v>29.427430000000005</v>
      </c>
      <c r="F4" s="1">
        <v>12.049229999999998</v>
      </c>
      <c r="G4" s="1">
        <v>-9.9217799999999983</v>
      </c>
      <c r="H4" s="7">
        <v>-4.9565799999999989</v>
      </c>
      <c r="I4" s="15">
        <v>23.096800000000005</v>
      </c>
      <c r="J4" s="1">
        <v>38.613050000000001</v>
      </c>
      <c r="K4" s="13">
        <v>10.311409999999999</v>
      </c>
      <c r="L4" s="1">
        <v>15.897260000000006</v>
      </c>
      <c r="M4" s="1">
        <v>29.79982</v>
      </c>
      <c r="N4" s="1">
        <v>41.840429999999998</v>
      </c>
    </row>
    <row r="5" spans="1:21" x14ac:dyDescent="0.25">
      <c r="A5" s="44"/>
      <c r="B5" s="8" t="s">
        <v>1</v>
      </c>
      <c r="C5" s="1">
        <v>54.749949999999998</v>
      </c>
      <c r="D5" s="1">
        <v>20.986590000000003</v>
      </c>
      <c r="E5" s="13">
        <v>14.283570000000001</v>
      </c>
      <c r="F5" s="1">
        <v>10.683800000000002</v>
      </c>
      <c r="G5" s="1">
        <v>-8.804610000000002</v>
      </c>
      <c r="H5" s="7">
        <v>-7.066790000000001</v>
      </c>
      <c r="I5" s="15">
        <v>33.027199999999993</v>
      </c>
      <c r="J5" s="1">
        <v>34.020240000000001</v>
      </c>
      <c r="K5" s="13">
        <v>5.966860000000004</v>
      </c>
      <c r="L5" s="1">
        <v>10.43554</v>
      </c>
      <c r="M5" s="1">
        <v>-10.914820000000001</v>
      </c>
      <c r="N5" s="1">
        <v>32.03416</v>
      </c>
    </row>
    <row r="6" spans="1:21" x14ac:dyDescent="0.25">
      <c r="A6" s="44"/>
      <c r="B6" s="8" t="s">
        <v>2</v>
      </c>
      <c r="C6" s="1">
        <v>26.572439999999997</v>
      </c>
      <c r="D6" s="1">
        <v>29.675689999999999</v>
      </c>
      <c r="E6" s="13">
        <v>10.559670000000001</v>
      </c>
      <c r="F6" s="1">
        <v>9.4424999999999955</v>
      </c>
      <c r="G6" s="1">
        <v>-11.907860000000001</v>
      </c>
      <c r="H6" s="7">
        <v>-10.66656</v>
      </c>
      <c r="I6" s="15">
        <v>110.85670999999999</v>
      </c>
      <c r="J6" s="1">
        <v>25.703529999999997</v>
      </c>
      <c r="K6" s="13">
        <v>-0.48790000000000333</v>
      </c>
      <c r="L6" s="1">
        <v>17.262689999999996</v>
      </c>
      <c r="M6" s="1">
        <v>-10.4183</v>
      </c>
      <c r="N6" s="1">
        <v>40.35087</v>
      </c>
    </row>
    <row r="7" spans="1:21" x14ac:dyDescent="0.25">
      <c r="A7" s="45" t="s">
        <v>10</v>
      </c>
      <c r="B7" s="9" t="s">
        <v>0</v>
      </c>
      <c r="C7" s="1">
        <v>47.550409999999985</v>
      </c>
      <c r="D7" s="1">
        <v>23.220930000000006</v>
      </c>
      <c r="E7" s="13">
        <v>24.462229999999995</v>
      </c>
      <c r="F7" s="1">
        <v>17.88334</v>
      </c>
      <c r="G7" s="1">
        <v>-9.9217799999999983</v>
      </c>
      <c r="H7" s="7">
        <v>-11.659599999999999</v>
      </c>
      <c r="I7" s="15">
        <v>23.345060000000007</v>
      </c>
      <c r="J7" s="1">
        <v>30.792860000000001</v>
      </c>
      <c r="K7" s="13">
        <v>11.304449999999999</v>
      </c>
      <c r="L7" s="1">
        <v>34.889150000000001</v>
      </c>
      <c r="M7" s="1">
        <v>-10.790690000000001</v>
      </c>
      <c r="N7" s="1">
        <v>56.239509999999996</v>
      </c>
    </row>
    <row r="8" spans="1:21" x14ac:dyDescent="0.25">
      <c r="A8" s="45"/>
      <c r="B8" s="9" t="s">
        <v>1</v>
      </c>
      <c r="C8" s="1">
        <v>34.392629999999997</v>
      </c>
      <c r="D8" s="1">
        <v>15.276610000000002</v>
      </c>
      <c r="E8" s="13">
        <v>24.834619999999997</v>
      </c>
      <c r="F8" s="1">
        <v>5.4703400000000038</v>
      </c>
      <c r="G8" s="1">
        <v>-13.76981</v>
      </c>
      <c r="H8" s="7">
        <v>-12.65264</v>
      </c>
      <c r="I8" s="15">
        <v>11.42858</v>
      </c>
      <c r="J8" s="1">
        <v>8.325330000000001</v>
      </c>
      <c r="K8" s="13">
        <v>8.4494599999999949</v>
      </c>
      <c r="L8" s="1">
        <v>13.662920000000003</v>
      </c>
      <c r="M8" s="1">
        <v>-9.5493900000000007</v>
      </c>
      <c r="N8" s="1">
        <v>53.756909999999991</v>
      </c>
    </row>
    <row r="9" spans="1:21" x14ac:dyDescent="0.25">
      <c r="A9" s="45"/>
      <c r="B9" s="9" t="s">
        <v>2</v>
      </c>
      <c r="C9" s="1">
        <v>41.21978</v>
      </c>
      <c r="D9" s="1">
        <v>45.316069999999982</v>
      </c>
      <c r="E9" s="13">
        <v>17.635079999999999</v>
      </c>
      <c r="F9" s="1">
        <v>11.056189999999997</v>
      </c>
      <c r="G9" s="1">
        <v>-13.14916</v>
      </c>
      <c r="H9" s="7">
        <v>-13.273289999999999</v>
      </c>
      <c r="I9" s="15">
        <v>22.848540000000003</v>
      </c>
      <c r="J9" s="1">
        <v>32.90307</v>
      </c>
      <c r="K9" s="13">
        <v>2.7394799999999968</v>
      </c>
      <c r="L9" s="1">
        <v>7.8288100000000043</v>
      </c>
      <c r="M9" s="1">
        <v>-11.907860000000001</v>
      </c>
      <c r="N9" s="1">
        <v>44.943679999999986</v>
      </c>
    </row>
    <row r="10" spans="1:21" x14ac:dyDescent="0.25">
      <c r="A10" s="46" t="s">
        <v>11</v>
      </c>
      <c r="B10" s="10" t="s">
        <v>0</v>
      </c>
      <c r="C10" s="1">
        <v>61.949489999999983</v>
      </c>
      <c r="D10" s="1">
        <v>14.283570000000001</v>
      </c>
      <c r="E10" s="13">
        <v>11.676840000000002</v>
      </c>
      <c r="F10" s="1">
        <v>9.1942399999999971</v>
      </c>
      <c r="G10" s="1">
        <v>-12.9009</v>
      </c>
      <c r="H10" s="7">
        <v>-12.280250000000001</v>
      </c>
      <c r="I10" s="15">
        <v>38.240660000000005</v>
      </c>
      <c r="J10" s="1">
        <v>43.205859999999987</v>
      </c>
      <c r="K10" s="13">
        <v>14.904220000000006</v>
      </c>
      <c r="L10" s="1">
        <v>8.4494599999999984</v>
      </c>
      <c r="M10" s="1">
        <v>-12.776769999999999</v>
      </c>
      <c r="N10" s="1">
        <v>39.606090000000009</v>
      </c>
    </row>
    <row r="11" spans="1:21" x14ac:dyDescent="0.25">
      <c r="A11" s="46"/>
      <c r="B11" s="10" t="s">
        <v>1</v>
      </c>
      <c r="C11" s="1">
        <v>39.109570000000005</v>
      </c>
      <c r="D11" s="1">
        <v>12.29749</v>
      </c>
      <c r="E11" s="13">
        <v>33.151330000000002</v>
      </c>
      <c r="F11" s="1">
        <v>11.800970000000003</v>
      </c>
      <c r="G11" s="1">
        <v>-14.390460000000001</v>
      </c>
      <c r="H11" s="7">
        <v>-13.273289999999999</v>
      </c>
      <c r="I11" s="15">
        <v>62.073619999999991</v>
      </c>
      <c r="J11" s="1">
        <v>20.862460000000002</v>
      </c>
      <c r="K11" s="13">
        <v>13.538790000000002</v>
      </c>
      <c r="L11" s="1">
        <v>5.2220799999999983</v>
      </c>
      <c r="M11" s="1">
        <v>-14.018070000000002</v>
      </c>
      <c r="N11" s="1">
        <v>54.501689999999996</v>
      </c>
    </row>
    <row r="12" spans="1:21" x14ac:dyDescent="0.25">
      <c r="A12" s="46"/>
      <c r="B12" s="10" t="s">
        <v>2</v>
      </c>
      <c r="C12" s="1">
        <v>31.661770000000001</v>
      </c>
      <c r="D12" s="1">
        <v>15.028350000000007</v>
      </c>
      <c r="E12" s="13">
        <v>15.524869999999996</v>
      </c>
      <c r="F12" s="1">
        <v>27.193090000000002</v>
      </c>
      <c r="G12" s="1">
        <v>-14.142199999999999</v>
      </c>
      <c r="H12" s="7">
        <v>-12.280249999999999</v>
      </c>
      <c r="I12" s="15">
        <v>35.261539999999997</v>
      </c>
      <c r="J12" s="1">
        <v>26.07592</v>
      </c>
      <c r="K12" s="13">
        <v>4.4772999999999996</v>
      </c>
      <c r="L12" s="1">
        <v>11.676840000000002</v>
      </c>
      <c r="M12" s="1">
        <v>-12.528509999999999</v>
      </c>
      <c r="N12" s="1">
        <v>50.90191999999999</v>
      </c>
    </row>
    <row r="14" spans="1:21" x14ac:dyDescent="0.25">
      <c r="C14" s="47" t="s">
        <v>3</v>
      </c>
      <c r="D14" s="47"/>
      <c r="E14" s="47"/>
      <c r="G14" s="47" t="s">
        <v>8</v>
      </c>
      <c r="H14" s="47"/>
      <c r="I14" s="47"/>
      <c r="J14" s="47"/>
      <c r="K14" s="47"/>
      <c r="L14" s="47"/>
      <c r="M14" s="47"/>
      <c r="N14" s="47"/>
      <c r="P14" s="47" t="s">
        <v>19</v>
      </c>
      <c r="Q14" s="47"/>
      <c r="R14" s="47"/>
      <c r="S14" s="47"/>
      <c r="T14" s="47"/>
      <c r="U14" s="47"/>
    </row>
    <row r="15" spans="1:21" x14ac:dyDescent="0.25">
      <c r="E15" s="1" t="s">
        <v>18</v>
      </c>
      <c r="H15" s="1" t="s">
        <v>9</v>
      </c>
      <c r="I15" s="1" t="s">
        <v>10</v>
      </c>
      <c r="J15" s="1" t="s">
        <v>11</v>
      </c>
      <c r="K15" s="17" t="s">
        <v>18</v>
      </c>
      <c r="L15" s="1" t="s">
        <v>9</v>
      </c>
      <c r="M15" s="1" t="s">
        <v>10</v>
      </c>
      <c r="N15" s="1" t="s">
        <v>11</v>
      </c>
      <c r="Q15" s="1" t="s">
        <v>16</v>
      </c>
      <c r="R15" s="1" t="s">
        <v>17</v>
      </c>
      <c r="S15" s="17" t="s">
        <v>18</v>
      </c>
      <c r="T15" s="1" t="s">
        <v>16</v>
      </c>
      <c r="U15" s="1" t="s">
        <v>17</v>
      </c>
    </row>
    <row r="16" spans="1:21" x14ac:dyDescent="0.25">
      <c r="C16" s="1" t="s">
        <v>6</v>
      </c>
      <c r="D16">
        <f>AVERAGE(C4:H12)</f>
        <v>13.382478148148145</v>
      </c>
      <c r="E16" s="1">
        <f>_xlfn.STDEV.S(C4:H12)/SQRT(COUNTA(C4:H12))</f>
        <v>3.1658123503780762</v>
      </c>
      <c r="G16" s="1" t="s">
        <v>6</v>
      </c>
      <c r="H16" s="13">
        <f>AVERAGE(C4:H6)</f>
        <v>15.842091111111102</v>
      </c>
      <c r="I16" s="16">
        <f>AVERAGE(C7:H9)</f>
        <v>12.993997222222218</v>
      </c>
      <c r="J16" s="1">
        <f>AVERAGE(C10:H12)</f>
        <v>11.311346111111112</v>
      </c>
      <c r="L16" s="1">
        <f>_xlfn.STDEV.S(C4:H6)/SQRT(COUNTA(C4:H6))</f>
        <v>6.3901500783039751</v>
      </c>
      <c r="M16" s="1">
        <f>_xlfn.STDEV.S(C7:H9)/SQRT(COUNTA(C7:H9))</f>
        <v>5.0685511526754317</v>
      </c>
      <c r="N16" s="1">
        <f>_xlfn.STDEV.S(C10:H12)/SQRT(COUNTA(C10:H12))</f>
        <v>5.1572587061680206</v>
      </c>
      <c r="P16" s="1" t="s">
        <v>7</v>
      </c>
      <c r="Q16" s="1">
        <f>AVERAGE(C4:E12)</f>
        <v>30.181404814814815</v>
      </c>
      <c r="R16" s="1">
        <f>AVERAGE(F4:H12)</f>
        <v>-3.4164485185185187</v>
      </c>
      <c r="T16" s="1">
        <f>_xlfn.STDEV.S(C4:E12)/SQRT(COUNTA(C4:E12))</f>
        <v>3.6759606722925384</v>
      </c>
      <c r="U16" s="1">
        <f>_xlfn.STDEV.S(F4:H12)/SQRT(COUNTA(F4:H12))</f>
        <v>2.3748138229303599</v>
      </c>
    </row>
    <row r="17" spans="2:21" x14ac:dyDescent="0.25">
      <c r="C17" s="1" t="s">
        <v>5</v>
      </c>
      <c r="D17">
        <f>AVERAGE(I4:N12)</f>
        <v>21.63482444444444</v>
      </c>
      <c r="E17" s="1">
        <f>_xlfn.STDEV.S(I4:N12)/SQRT(COUNTA(I4:N12))</f>
        <v>3.2110302456448605</v>
      </c>
      <c r="G17" s="1" t="s">
        <v>5</v>
      </c>
      <c r="H17" s="13">
        <f>AVERAGE(I4:N6)</f>
        <v>24.85530833333333</v>
      </c>
      <c r="I17" s="16">
        <f>AVERAGE(I7:N9)</f>
        <v>18.400548333333333</v>
      </c>
      <c r="J17" s="1">
        <f>AVERAGE(I10:N12)</f>
        <v>21.648616666666669</v>
      </c>
      <c r="L17" s="1">
        <f>_xlfn.STDEV.S(I4:N6)/SQRT(COUNTA(I4:N6))</f>
        <v>6.3721271762541241</v>
      </c>
      <c r="M17" s="1">
        <f>_xlfn.STDEV.S(I7:N9)/SQRT(COUNTA(I7:N9))</f>
        <v>4.8833773467001516</v>
      </c>
      <c r="N17" s="1">
        <f>_xlfn.STDEV.S(I10:N12)/SQRT(COUNTA(I10:N12))</f>
        <v>5.5460533408663339</v>
      </c>
      <c r="P17" s="1" t="s">
        <v>5</v>
      </c>
      <c r="Q17" s="1">
        <f>AVERAGE(I4:K12)</f>
        <v>25.625374074074074</v>
      </c>
      <c r="R17" s="1">
        <f>AVERAGE(L4:N12)</f>
        <v>17.644274814814807</v>
      </c>
      <c r="T17" s="1">
        <f>_xlfn.STDEV.S(I4:K12)/SQRT(COUNTA(I4:K12))</f>
        <v>4.3207558958758847</v>
      </c>
      <c r="U17" s="1">
        <f>_xlfn.STDEV.S(L4:N12)/SQRT(COUNTA(L4:N12))</f>
        <v>4.7055393840942328</v>
      </c>
    </row>
    <row r="18" spans="2:21" x14ac:dyDescent="0.25">
      <c r="C18" s="1" t="s">
        <v>4</v>
      </c>
      <c r="D18">
        <f>_xlfn.T.TEST(C4:H12,I4:N12,1,1)</f>
        <v>2.4181524113264286E-2</v>
      </c>
      <c r="G18" s="1" t="s">
        <v>4</v>
      </c>
      <c r="H18" s="1">
        <f>_xlfn.T.TEST(C4:H6,I4:N6,1,1)</f>
        <v>0.1433963290411075</v>
      </c>
      <c r="I18" s="1">
        <f>_xlfn.T.TEST(C7:H9,I7:N9,1,1)</f>
        <v>0.22261984416308911</v>
      </c>
      <c r="J18" s="1">
        <f>_xlfn.T.TEST(C10:H12,I10:N12,1,1)</f>
        <v>6.0644158515399553E-2</v>
      </c>
      <c r="P18" s="1" t="s">
        <v>4</v>
      </c>
      <c r="Q18" s="1">
        <f>_xlfn.T.TEST(C4:E12,I4:K12,1,1)</f>
        <v>0.19147799903280677</v>
      </c>
      <c r="R18" s="1">
        <f>_xlfn.T.TEST(F4:H12,L4:N12,1,1)</f>
        <v>2.9550751237122154E-4</v>
      </c>
    </row>
    <row r="32" spans="2:21" x14ac:dyDescent="0.25">
      <c r="B32" s="1" t="s">
        <v>6</v>
      </c>
      <c r="C32" s="1" t="s">
        <v>5</v>
      </c>
    </row>
    <row r="33" spans="2:3" x14ac:dyDescent="0.25">
      <c r="B33" s="1">
        <v>59.466889999999985</v>
      </c>
      <c r="C33" s="1">
        <v>55.660236666666663</v>
      </c>
    </row>
    <row r="34" spans="2:3" x14ac:dyDescent="0.25">
      <c r="B34" s="1">
        <v>41.054273333333327</v>
      </c>
      <c r="C34" s="1">
        <v>19.207393333333339</v>
      </c>
    </row>
    <row r="35" spans="2:3" x14ac:dyDescent="0.25">
      <c r="B35" s="2">
        <v>44.240276666666659</v>
      </c>
      <c r="C35" s="2">
        <v>45.191939999999995</v>
      </c>
    </row>
    <row r="36" spans="2:3" x14ac:dyDescent="0.25">
      <c r="B36" s="3">
        <v>24.544983333333334</v>
      </c>
      <c r="C36" s="3">
        <v>32.778939999999999</v>
      </c>
    </row>
    <row r="37" spans="2:3" x14ac:dyDescent="0.25">
      <c r="B37" s="1">
        <v>27.937869999999993</v>
      </c>
      <c r="C37" s="1">
        <v>24.007086666666666</v>
      </c>
    </row>
    <row r="38" spans="2:3" x14ac:dyDescent="0.25">
      <c r="B38" s="2">
        <v>13.869803333333337</v>
      </c>
      <c r="C38" s="2">
        <v>30.048079999999995</v>
      </c>
    </row>
    <row r="39" spans="2:3" x14ac:dyDescent="0.25">
      <c r="B39" s="3">
        <v>18.090223333333338</v>
      </c>
      <c r="C39" s="3">
        <v>5.2634566666666665</v>
      </c>
    </row>
    <row r="40" spans="2:3" x14ac:dyDescent="0.25">
      <c r="B40" s="1">
        <v>22.310643333333331</v>
      </c>
      <c r="C40" s="1">
        <v>7.4977966666666633</v>
      </c>
    </row>
    <row r="41" spans="2:3" x14ac:dyDescent="0.25">
      <c r="B41" s="2">
        <v>20.117679999999996</v>
      </c>
      <c r="C41" s="2">
        <v>10.97343666666667</v>
      </c>
    </row>
    <row r="42" spans="2:3" x14ac:dyDescent="0.25">
      <c r="B42" s="3">
        <v>10.725176666666664</v>
      </c>
      <c r="C42" s="3">
        <v>14.531829999999999</v>
      </c>
    </row>
    <row r="43" spans="2:3" x14ac:dyDescent="0.25">
      <c r="B43" s="1">
        <v>11.469956666666667</v>
      </c>
      <c r="C43" s="1">
        <v>18.793626666666668</v>
      </c>
    </row>
    <row r="44" spans="2:3" x14ac:dyDescent="0.25">
      <c r="B44" s="2">
        <v>16.062766666666665</v>
      </c>
      <c r="C44" s="2">
        <v>8.4494600000000002</v>
      </c>
    </row>
    <row r="45" spans="2:3" x14ac:dyDescent="0.25">
      <c r="B45" s="3">
        <v>-10.211416666666667</v>
      </c>
      <c r="C45" s="3">
        <v>2.8222333333333327</v>
      </c>
    </row>
    <row r="46" spans="2:3" x14ac:dyDescent="0.25">
      <c r="B46" s="1">
        <v>-12.280250000000001</v>
      </c>
      <c r="C46" s="1">
        <v>-10.749313333333333</v>
      </c>
    </row>
    <row r="47" spans="2:3" x14ac:dyDescent="0.25">
      <c r="B47" s="2">
        <v>-13.811186666666666</v>
      </c>
      <c r="C47" s="2">
        <v>-13.107783333333332</v>
      </c>
    </row>
    <row r="48" spans="2:3" x14ac:dyDescent="0.25">
      <c r="B48" s="1">
        <v>-7.5633100000000004</v>
      </c>
      <c r="C48" s="1">
        <v>38.075153333333333</v>
      </c>
    </row>
    <row r="49" spans="2:3" x14ac:dyDescent="0.25">
      <c r="B49" s="1">
        <v>-12.528509999999999</v>
      </c>
      <c r="C49" s="1">
        <v>51.646699999999989</v>
      </c>
    </row>
    <row r="50" spans="2:3" x14ac:dyDescent="0.25">
      <c r="B50" s="1">
        <v>-12.611263333333332</v>
      </c>
      <c r="C50" s="1">
        <v>48.33656666666667</v>
      </c>
    </row>
  </sheetData>
  <mergeCells count="12">
    <mergeCell ref="G14:N14"/>
    <mergeCell ref="C14:E14"/>
    <mergeCell ref="P14:U14"/>
    <mergeCell ref="C2:E2"/>
    <mergeCell ref="I2:K2"/>
    <mergeCell ref="F2:H2"/>
    <mergeCell ref="L2:N2"/>
    <mergeCell ref="C1:H1"/>
    <mergeCell ref="I1:N1"/>
    <mergeCell ref="A4:A6"/>
    <mergeCell ref="A7:A9"/>
    <mergeCell ref="A10:A12"/>
  </mergeCells>
  <phoneticPr fontId="4" type="noConversion"/>
  <conditionalFormatting sqref="Q18">
    <cfRule type="cellIs" dxfId="1" priority="12" operator="lessThan">
      <formula>0.05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026D7-4C7D-41FC-8D22-591093651051}">
  <dimension ref="A1:AC14"/>
  <sheetViews>
    <sheetView workbookViewId="0">
      <selection activeCell="K21" sqref="K21"/>
    </sheetView>
  </sheetViews>
  <sheetFormatPr defaultRowHeight="12.75" x14ac:dyDescent="0.2"/>
  <cols>
    <col min="1" max="1" width="20.7109375" style="18" customWidth="1"/>
    <col min="2" max="2" width="9.140625" style="18" customWidth="1"/>
    <col min="3" max="26" width="9.140625" style="18"/>
    <col min="27" max="27" width="11.42578125" style="18" bestFit="1" customWidth="1"/>
    <col min="28" max="29" width="9.140625" style="18"/>
    <col min="30" max="30" width="11.140625" style="18" bestFit="1" customWidth="1"/>
    <col min="31" max="31" width="13.7109375" style="18" bestFit="1" customWidth="1"/>
    <col min="32" max="32" width="14.7109375" style="18" bestFit="1" customWidth="1"/>
    <col min="33" max="16384" width="9.140625" style="18"/>
  </cols>
  <sheetData>
    <row r="1" spans="1:29" x14ac:dyDescent="0.2">
      <c r="P1" s="59" t="s">
        <v>3</v>
      </c>
      <c r="Q1" s="59"/>
      <c r="R1" s="21"/>
      <c r="S1" s="21"/>
      <c r="V1" s="59" t="s">
        <v>16</v>
      </c>
      <c r="W1" s="59"/>
      <c r="X1" s="21"/>
      <c r="Z1" s="59" t="s">
        <v>17</v>
      </c>
      <c r="AA1" s="59"/>
    </row>
    <row r="2" spans="1:29" ht="15" x14ac:dyDescent="0.25">
      <c r="B2" s="57" t="s">
        <v>12</v>
      </c>
      <c r="C2" s="57"/>
      <c r="D2" s="57"/>
      <c r="E2" s="57"/>
      <c r="F2" s="57"/>
      <c r="G2" s="58"/>
      <c r="H2" s="56" t="s">
        <v>13</v>
      </c>
      <c r="I2" s="56"/>
      <c r="J2" s="56"/>
      <c r="K2" s="56"/>
      <c r="L2" s="56"/>
      <c r="M2" s="56"/>
      <c r="P2" s="20" t="s">
        <v>24</v>
      </c>
      <c r="Q2" s="20" t="s">
        <v>21</v>
      </c>
      <c r="R2" s="20" t="s">
        <v>23</v>
      </c>
      <c r="S2" s="20" t="s">
        <v>20</v>
      </c>
      <c r="V2" s="20" t="s">
        <v>21</v>
      </c>
      <c r="W2" s="20" t="s">
        <v>20</v>
      </c>
      <c r="X2" s="20"/>
      <c r="Z2" s="20" t="s">
        <v>24</v>
      </c>
      <c r="AA2" s="20" t="s">
        <v>21</v>
      </c>
      <c r="AB2" s="20" t="s">
        <v>23</v>
      </c>
      <c r="AC2" s="20" t="s">
        <v>20</v>
      </c>
    </row>
    <row r="3" spans="1:29" ht="12.75" customHeight="1" x14ac:dyDescent="0.2">
      <c r="A3" s="18" t="s">
        <v>22</v>
      </c>
      <c r="B3" s="23">
        <v>1</v>
      </c>
      <c r="C3" s="23">
        <v>2</v>
      </c>
      <c r="D3" s="23">
        <v>3</v>
      </c>
      <c r="E3" s="23">
        <v>4</v>
      </c>
      <c r="F3" s="23">
        <v>5</v>
      </c>
      <c r="G3" s="34">
        <v>6</v>
      </c>
      <c r="H3" s="33">
        <v>7</v>
      </c>
      <c r="I3" s="22">
        <v>8</v>
      </c>
      <c r="J3" s="22">
        <v>9</v>
      </c>
      <c r="K3" s="22">
        <v>10</v>
      </c>
      <c r="L3" s="22">
        <v>11</v>
      </c>
      <c r="M3" s="22">
        <v>12</v>
      </c>
      <c r="P3" s="18">
        <v>103.18832000000002</v>
      </c>
      <c r="Q3" s="18">
        <v>170.31407999999999</v>
      </c>
      <c r="R3" s="18">
        <v>62.041519999999998</v>
      </c>
      <c r="S3" s="18">
        <v>132.07176000000004</v>
      </c>
      <c r="V3" s="18">
        <v>170.31408000000002</v>
      </c>
      <c r="W3" s="18">
        <v>132.07176000000004</v>
      </c>
      <c r="Z3" s="18">
        <v>49.294080000000001</v>
      </c>
      <c r="AA3" s="18">
        <v>118.35616000000003</v>
      </c>
      <c r="AB3" s="18">
        <v>420.58344000000011</v>
      </c>
      <c r="AC3" s="18">
        <v>747.49880000000007</v>
      </c>
    </row>
    <row r="4" spans="1:29" x14ac:dyDescent="0.2">
      <c r="A4" s="24" t="s">
        <v>6</v>
      </c>
      <c r="B4" s="25">
        <v>170.31408000000002</v>
      </c>
      <c r="C4" s="26">
        <v>106.73824000000002</v>
      </c>
      <c r="D4" s="26">
        <v>97.540720000000022</v>
      </c>
      <c r="E4" s="26">
        <v>205.81328000000002</v>
      </c>
      <c r="F4" s="26">
        <v>187.25688</v>
      </c>
      <c r="G4" s="35">
        <v>53.489440000000009</v>
      </c>
      <c r="H4" s="26">
        <v>118.35616000000003</v>
      </c>
      <c r="I4" s="26">
        <v>233.72856000000002</v>
      </c>
      <c r="J4" s="26">
        <v>76.563920000000024</v>
      </c>
      <c r="K4" s="26">
        <v>298.1112</v>
      </c>
      <c r="L4" s="26">
        <v>187.25688</v>
      </c>
      <c r="M4" s="27">
        <v>160.47112000000001</v>
      </c>
      <c r="P4" s="18">
        <v>54.78032000000001</v>
      </c>
      <c r="Q4" s="18">
        <v>106.73824000000002</v>
      </c>
      <c r="R4" s="18">
        <v>138.20344000000003</v>
      </c>
      <c r="S4" s="18">
        <v>689.24784</v>
      </c>
      <c r="V4" s="18">
        <v>106.73824000000002</v>
      </c>
      <c r="W4" s="18">
        <v>689.24784</v>
      </c>
      <c r="Z4" s="18">
        <v>150.30544</v>
      </c>
      <c r="AA4" s="18">
        <v>233.72856000000002</v>
      </c>
      <c r="AB4" s="18">
        <v>476.73672000000005</v>
      </c>
      <c r="AC4" s="18">
        <v>675.85496000000001</v>
      </c>
    </row>
    <row r="5" spans="1:29" ht="12.75" customHeight="1" x14ac:dyDescent="0.2">
      <c r="A5" s="24" t="s">
        <v>25</v>
      </c>
      <c r="B5" s="25">
        <v>103.18832000000002</v>
      </c>
      <c r="C5" s="26">
        <v>54.78032000000001</v>
      </c>
      <c r="D5" s="26">
        <v>30.092239999999997</v>
      </c>
      <c r="E5" s="26">
        <v>56.393920000000001</v>
      </c>
      <c r="F5" s="26">
        <v>69.46408000000001</v>
      </c>
      <c r="G5" s="35">
        <v>6.5336800000000022</v>
      </c>
      <c r="H5" s="26">
        <v>49.294080000000001</v>
      </c>
      <c r="I5" s="26">
        <v>150.30544</v>
      </c>
      <c r="J5" s="26">
        <v>18.312959999999997</v>
      </c>
      <c r="K5" s="26">
        <v>88.181840000000022</v>
      </c>
      <c r="L5" s="26">
        <v>47.680479999999996</v>
      </c>
      <c r="M5" s="27">
        <v>47.357759999999999</v>
      </c>
      <c r="P5" s="18">
        <v>30.092239999999997</v>
      </c>
      <c r="Q5" s="18">
        <v>97.540720000000022</v>
      </c>
      <c r="R5" s="18">
        <v>82.695600000000013</v>
      </c>
      <c r="S5" s="18">
        <v>588.23648000000003</v>
      </c>
      <c r="V5" s="18">
        <v>97.540720000000022</v>
      </c>
      <c r="W5" s="18">
        <v>588.23648000000003</v>
      </c>
      <c r="Z5" s="18">
        <v>18.312959999999997</v>
      </c>
      <c r="AA5" s="18">
        <v>76.563920000000024</v>
      </c>
      <c r="AB5" s="18">
        <v>384.43880000000007</v>
      </c>
      <c r="AC5" s="18">
        <v>744.27160000000003</v>
      </c>
    </row>
    <row r="6" spans="1:29" x14ac:dyDescent="0.2">
      <c r="A6" s="24" t="s">
        <v>26</v>
      </c>
      <c r="B6" s="28">
        <v>127.23096000000002</v>
      </c>
      <c r="C6" s="29">
        <v>1113.7860000000001</v>
      </c>
      <c r="D6" s="29">
        <v>1054.0828000000001</v>
      </c>
      <c r="E6" s="29">
        <v>830.11512000000005</v>
      </c>
      <c r="F6" s="29">
        <v>100.44520000000001</v>
      </c>
      <c r="G6" s="36">
        <v>108.19048000000002</v>
      </c>
      <c r="H6" s="29">
        <v>851.73736000000008</v>
      </c>
      <c r="I6" s="29">
        <v>609.05192</v>
      </c>
      <c r="J6" s="29">
        <v>841.73304000000007</v>
      </c>
      <c r="K6" s="29">
        <v>535.14904000000001</v>
      </c>
      <c r="L6" s="29">
        <v>823.98343999999997</v>
      </c>
      <c r="M6" s="30">
        <v>903.37256000000014</v>
      </c>
      <c r="P6" s="18">
        <v>56.393920000000001</v>
      </c>
      <c r="Q6" s="18">
        <v>205.81328000000002</v>
      </c>
      <c r="R6" s="18">
        <v>112.70855999999999</v>
      </c>
      <c r="S6" s="18">
        <v>519.17439999999999</v>
      </c>
      <c r="V6" s="18">
        <v>205.81328000000002</v>
      </c>
      <c r="W6" s="18">
        <v>519.17439999999999</v>
      </c>
      <c r="Z6" s="18">
        <v>88.181840000000022</v>
      </c>
      <c r="AA6" s="18">
        <v>298.1112</v>
      </c>
      <c r="AB6" s="18">
        <v>225.98328000000001</v>
      </c>
      <c r="AC6" s="18">
        <v>418.96984000000003</v>
      </c>
    </row>
    <row r="7" spans="1:29" ht="12.75" customHeight="1" x14ac:dyDescent="0.2">
      <c r="A7" s="24" t="s">
        <v>27</v>
      </c>
      <c r="B7" s="31">
        <v>136.91256000000001</v>
      </c>
      <c r="C7" s="19">
        <v>264.70968000000005</v>
      </c>
      <c r="D7" s="19">
        <v>122.39016000000002</v>
      </c>
      <c r="E7" s="19">
        <v>208.23368000000002</v>
      </c>
      <c r="F7" s="19">
        <v>93.02264000000001</v>
      </c>
      <c r="G7" s="37">
        <v>84.631920000000008</v>
      </c>
      <c r="H7" s="19">
        <v>643.26023999999995</v>
      </c>
      <c r="I7" s="19">
        <v>742.65800000000002</v>
      </c>
      <c r="J7" s="19">
        <v>646.81016</v>
      </c>
      <c r="K7" s="19">
        <v>302.79064000000005</v>
      </c>
      <c r="L7" s="19">
        <v>492.22728000000006</v>
      </c>
      <c r="M7" s="32">
        <v>552.89864</v>
      </c>
      <c r="P7" s="18">
        <v>69.46408000000001</v>
      </c>
      <c r="Q7" s="18">
        <v>187.25688</v>
      </c>
      <c r="R7" s="18">
        <v>45.582800000000006</v>
      </c>
      <c r="S7" s="18">
        <v>96.733920000000012</v>
      </c>
      <c r="V7" s="18">
        <v>187.25688</v>
      </c>
      <c r="W7" s="18">
        <v>96.733920000000012</v>
      </c>
      <c r="Z7" s="18">
        <v>47.680479999999996</v>
      </c>
      <c r="AA7" s="18">
        <v>187.25688</v>
      </c>
      <c r="AB7" s="18">
        <v>382.82520000000011</v>
      </c>
      <c r="AC7" s="18">
        <v>658.10536000000002</v>
      </c>
    </row>
    <row r="8" spans="1:29" x14ac:dyDescent="0.2">
      <c r="A8" s="24" t="s">
        <v>28</v>
      </c>
      <c r="B8" s="25">
        <v>62.041519999999998</v>
      </c>
      <c r="C8" s="26">
        <v>138.20344000000003</v>
      </c>
      <c r="D8" s="26">
        <v>82.695600000000013</v>
      </c>
      <c r="E8" s="26">
        <v>112.70855999999999</v>
      </c>
      <c r="F8" s="26">
        <v>45.582800000000006</v>
      </c>
      <c r="G8" s="35">
        <v>32.35128000000001</v>
      </c>
      <c r="H8" s="26">
        <v>420.58344000000011</v>
      </c>
      <c r="I8" s="26">
        <v>476.73672000000005</v>
      </c>
      <c r="J8" s="26">
        <v>384.43880000000007</v>
      </c>
      <c r="K8" s="26">
        <v>225.98328000000001</v>
      </c>
      <c r="L8" s="26">
        <v>382.82520000000011</v>
      </c>
      <c r="M8" s="27">
        <v>355.71672000000007</v>
      </c>
      <c r="P8" s="19">
        <v>6.5336800000000022</v>
      </c>
      <c r="Q8" s="19">
        <v>53.489440000000009</v>
      </c>
      <c r="R8" s="19">
        <v>32.35128000000001</v>
      </c>
      <c r="S8" s="19">
        <v>96.411200000000022</v>
      </c>
      <c r="V8" s="18">
        <v>53.489440000000009</v>
      </c>
      <c r="W8" s="18">
        <v>96.411200000000022</v>
      </c>
      <c r="Z8" s="18">
        <v>47.357759999999999</v>
      </c>
      <c r="AA8" s="18">
        <v>160.47112000000001</v>
      </c>
      <c r="AB8" s="18">
        <v>355.71672000000007</v>
      </c>
      <c r="AC8" s="18">
        <v>728.13560000000007</v>
      </c>
    </row>
    <row r="9" spans="1:29" ht="12.75" customHeight="1" x14ac:dyDescent="0.2">
      <c r="P9" s="18">
        <v>49.294080000000001</v>
      </c>
      <c r="Q9" s="18">
        <v>118.35616000000003</v>
      </c>
      <c r="R9" s="18">
        <v>420.58344000000011</v>
      </c>
      <c r="S9" s="18">
        <v>747.49880000000007</v>
      </c>
    </row>
    <row r="10" spans="1:29" x14ac:dyDescent="0.2">
      <c r="P10" s="18">
        <v>150.30544</v>
      </c>
      <c r="Q10" s="18">
        <v>233.72856000000002</v>
      </c>
      <c r="R10" s="18">
        <v>476.73672000000005</v>
      </c>
      <c r="S10" s="18">
        <v>675.85496000000001</v>
      </c>
      <c r="V10" s="18" t="s">
        <v>4</v>
      </c>
      <c r="Z10" s="18" t="s">
        <v>4</v>
      </c>
    </row>
    <row r="11" spans="1:29" ht="12.75" customHeight="1" x14ac:dyDescent="0.2">
      <c r="P11" s="18">
        <v>18.312959999999997</v>
      </c>
      <c r="Q11" s="18">
        <v>76.563920000000024</v>
      </c>
      <c r="R11" s="18">
        <v>384.43880000000007</v>
      </c>
      <c r="S11" s="18">
        <v>744.27160000000003</v>
      </c>
      <c r="V11" s="18">
        <f>_xlfn.T.TEST(V3:V8,W3:W8,1,1)</f>
        <v>6.1035711112218748E-2</v>
      </c>
      <c r="Z11" s="18">
        <f>_xlfn.T.TEST(AA3:AA8,AC3:AC8,1,1)</f>
        <v>9.3535817228642272E-4</v>
      </c>
    </row>
    <row r="12" spans="1:29" x14ac:dyDescent="0.2">
      <c r="P12" s="18">
        <v>88.181840000000022</v>
      </c>
      <c r="Q12" s="18">
        <v>298.1112</v>
      </c>
      <c r="R12" s="18">
        <v>225.98328000000001</v>
      </c>
      <c r="S12" s="18">
        <v>418.96984000000003</v>
      </c>
    </row>
    <row r="13" spans="1:29" ht="12.75" customHeight="1" x14ac:dyDescent="0.2">
      <c r="P13" s="18">
        <v>47.680479999999996</v>
      </c>
      <c r="Q13" s="18">
        <v>187.25688</v>
      </c>
      <c r="R13" s="18">
        <v>382.82520000000011</v>
      </c>
      <c r="S13" s="18">
        <v>658.10536000000002</v>
      </c>
      <c r="T13" s="18" t="s">
        <v>4</v>
      </c>
    </row>
    <row r="14" spans="1:29" x14ac:dyDescent="0.2">
      <c r="P14" s="18">
        <v>47.357759999999999</v>
      </c>
      <c r="Q14" s="18">
        <v>160.47112000000001</v>
      </c>
      <c r="R14" s="18">
        <v>355.71672000000007</v>
      </c>
      <c r="S14" s="18">
        <v>728.13560000000007</v>
      </c>
      <c r="T14" s="18">
        <f>_xlfn.T.TEST(Q3:Q14,S3:S14,1,1)</f>
        <v>4.891702977198011E-4</v>
      </c>
    </row>
  </sheetData>
  <mergeCells count="5">
    <mergeCell ref="H2:M2"/>
    <mergeCell ref="B2:G2"/>
    <mergeCell ref="Z1:AA1"/>
    <mergeCell ref="P1:Q1"/>
    <mergeCell ref="V1:W1"/>
  </mergeCells>
  <phoneticPr fontId="4" type="noConversion"/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EDB61-1AB2-42C7-BA0B-E39EBD910393}">
  <dimension ref="A1:AH20"/>
  <sheetViews>
    <sheetView tabSelected="1" zoomScale="80" zoomScaleNormal="80" workbookViewId="0">
      <pane xSplit="1" topLeftCell="AC1" activePane="topRight" state="frozen"/>
      <selection pane="topRight" activeCell="AG29" sqref="AG29"/>
    </sheetView>
  </sheetViews>
  <sheetFormatPr defaultRowHeight="15" x14ac:dyDescent="0.25"/>
  <cols>
    <col min="1" max="1" width="116.42578125" style="38" bestFit="1" customWidth="1"/>
    <col min="2" max="16384" width="9.140625" style="38"/>
  </cols>
  <sheetData>
    <row r="1" spans="1:34" s="39" customFormat="1" x14ac:dyDescent="0.25">
      <c r="A1" s="39" t="s">
        <v>57</v>
      </c>
      <c r="B1" s="39" t="s">
        <v>35</v>
      </c>
      <c r="C1" s="39" t="s">
        <v>36</v>
      </c>
      <c r="D1" s="39" t="s">
        <v>37</v>
      </c>
      <c r="E1" s="39" t="s">
        <v>38</v>
      </c>
      <c r="F1" s="39" t="s">
        <v>39</v>
      </c>
      <c r="G1" s="39" t="s">
        <v>40</v>
      </c>
      <c r="H1" s="39" t="s">
        <v>41</v>
      </c>
      <c r="I1" s="39" t="s">
        <v>42</v>
      </c>
      <c r="J1" s="39" t="s">
        <v>43</v>
      </c>
      <c r="K1" s="39" t="s">
        <v>44</v>
      </c>
      <c r="L1" s="39" t="s">
        <v>45</v>
      </c>
      <c r="M1" s="39" t="s">
        <v>46</v>
      </c>
      <c r="O1" s="39" t="s">
        <v>26</v>
      </c>
      <c r="P1" s="39" t="s">
        <v>27</v>
      </c>
      <c r="Q1" s="39" t="s">
        <v>47</v>
      </c>
      <c r="R1" s="39" t="s">
        <v>48</v>
      </c>
      <c r="S1" s="39" t="s">
        <v>49</v>
      </c>
      <c r="T1" s="39" t="s">
        <v>50</v>
      </c>
      <c r="U1" s="39" t="s">
        <v>51</v>
      </c>
      <c r="V1" s="39" t="s">
        <v>52</v>
      </c>
      <c r="W1" s="39" t="s">
        <v>53</v>
      </c>
      <c r="X1" s="39" t="s">
        <v>54</v>
      </c>
      <c r="Y1" s="39" t="s">
        <v>55</v>
      </c>
      <c r="Z1" s="39" t="s">
        <v>56</v>
      </c>
      <c r="AC1" s="39" t="s">
        <v>6</v>
      </c>
      <c r="AD1" s="39" t="s">
        <v>5</v>
      </c>
      <c r="AE1" s="39" t="s">
        <v>34</v>
      </c>
      <c r="AF1" s="39" t="s">
        <v>33</v>
      </c>
      <c r="AH1" s="39" t="s">
        <v>4</v>
      </c>
    </row>
    <row r="2" spans="1:34" x14ac:dyDescent="0.25">
      <c r="A2" s="38" t="s">
        <v>63</v>
      </c>
      <c r="B2" s="38">
        <v>58</v>
      </c>
      <c r="C2" s="38">
        <v>82</v>
      </c>
      <c r="D2" s="38">
        <v>54.8</v>
      </c>
      <c r="E2" s="38">
        <v>61</v>
      </c>
      <c r="F2" s="38">
        <v>49.9</v>
      </c>
      <c r="G2" s="38">
        <v>45.4</v>
      </c>
      <c r="H2" s="38">
        <v>63.5</v>
      </c>
      <c r="I2" s="38">
        <v>56.3</v>
      </c>
      <c r="J2" s="38">
        <v>45</v>
      </c>
      <c r="K2" s="38">
        <v>30.4</v>
      </c>
      <c r="L2" s="38">
        <v>61.7</v>
      </c>
      <c r="M2" s="38">
        <v>48.7</v>
      </c>
      <c r="O2" s="38">
        <v>44.6</v>
      </c>
      <c r="P2" s="38">
        <v>81.3</v>
      </c>
      <c r="Q2" s="38">
        <v>48.4</v>
      </c>
      <c r="R2" s="38">
        <v>49.5</v>
      </c>
      <c r="S2" s="38">
        <v>49.7</v>
      </c>
      <c r="T2" s="38">
        <v>46.7</v>
      </c>
      <c r="U2" s="38">
        <v>27.9</v>
      </c>
      <c r="V2" s="38">
        <v>32.1</v>
      </c>
      <c r="W2" s="38">
        <v>31</v>
      </c>
      <c r="X2" s="38">
        <v>18.2</v>
      </c>
      <c r="Y2" s="38">
        <v>32.9</v>
      </c>
      <c r="Z2" s="38">
        <v>27.1</v>
      </c>
      <c r="AC2" s="38">
        <f>AVERAGE(B2:M2)</f>
        <v>54.725000000000001</v>
      </c>
      <c r="AD2" s="38">
        <f>AVERAGE(O2:Z2)</f>
        <v>40.783333333333331</v>
      </c>
      <c r="AE2" s="38">
        <f>_xlfn.STDEV.S(B2:M2)/SQRT(COUNTA(B2:M2))</f>
        <v>3.6462750814628491</v>
      </c>
      <c r="AF2" s="38">
        <f>_xlfn.STDEV.S(O2:Z2)/SQRT(COUNTA(O2:Z2))</f>
        <v>4.7682318896563096</v>
      </c>
      <c r="AH2" s="38">
        <f t="shared" ref="AH2:AH20" si="0">_xlfn.T.TEST(B2:M2,O2:Z2,2,1)</f>
        <v>1.7199655658357558E-3</v>
      </c>
    </row>
    <row r="3" spans="1:34" x14ac:dyDescent="0.25">
      <c r="A3" s="38" t="s">
        <v>64</v>
      </c>
      <c r="B3" s="38">
        <v>39.4</v>
      </c>
      <c r="C3" s="38">
        <v>16.5</v>
      </c>
      <c r="D3" s="38">
        <v>42.2</v>
      </c>
      <c r="E3" s="38">
        <v>33.6</v>
      </c>
      <c r="F3" s="38">
        <v>43.7</v>
      </c>
      <c r="G3" s="38">
        <v>48.1</v>
      </c>
      <c r="H3" s="38">
        <v>34.299999999999997</v>
      </c>
      <c r="I3" s="38">
        <v>40.700000000000003</v>
      </c>
      <c r="J3" s="38">
        <v>49.8</v>
      </c>
      <c r="K3" s="38">
        <v>61</v>
      </c>
      <c r="L3" s="38">
        <v>27.5</v>
      </c>
      <c r="M3" s="38">
        <v>39</v>
      </c>
      <c r="O3" s="38">
        <v>53.3</v>
      </c>
      <c r="P3" s="38">
        <v>16.8</v>
      </c>
      <c r="Q3" s="38">
        <v>48.4</v>
      </c>
      <c r="R3" s="38">
        <v>45.8</v>
      </c>
      <c r="S3" s="38">
        <v>42.3</v>
      </c>
      <c r="T3" s="38">
        <v>45.7</v>
      </c>
      <c r="U3" s="38">
        <v>65.099999999999994</v>
      </c>
      <c r="V3" s="38">
        <v>62.2</v>
      </c>
      <c r="W3" s="38">
        <v>60.2</v>
      </c>
      <c r="X3" s="38">
        <v>63.4</v>
      </c>
      <c r="Y3" s="38">
        <v>54.2</v>
      </c>
      <c r="Z3" s="38">
        <v>64.599999999999994</v>
      </c>
      <c r="AC3" s="38">
        <f>AVERAGE(B3:M3)</f>
        <v>39.65</v>
      </c>
      <c r="AD3" s="38">
        <f>AVERAGE(O3:Z3)</f>
        <v>51.833333333333336</v>
      </c>
      <c r="AE3" s="38">
        <f>_xlfn.STDEV.S(B3:M3)/SQRT(COUNTA(B3:M3))</f>
        <v>3.2607746802181121</v>
      </c>
      <c r="AF3" s="38">
        <f>_xlfn.STDEV.S(O3:Z3)/SQRT(COUNTA(O3:Z3))</f>
        <v>3.9523934699640111</v>
      </c>
      <c r="AH3" s="38">
        <f t="shared" si="0"/>
        <v>4.0691606985562212E-3</v>
      </c>
    </row>
    <row r="4" spans="1:34" x14ac:dyDescent="0.25">
      <c r="A4" s="40" t="s">
        <v>29</v>
      </c>
      <c r="B4" s="38">
        <f t="shared" ref="B4:Z4" si="1">B3/B2</f>
        <v>0.67931034482758623</v>
      </c>
      <c r="C4" s="38">
        <f t="shared" si="1"/>
        <v>0.20121951219512196</v>
      </c>
      <c r="D4" s="38">
        <f t="shared" si="1"/>
        <v>0.77007299270073004</v>
      </c>
      <c r="E4" s="38">
        <f t="shared" si="1"/>
        <v>0.55081967213114758</v>
      </c>
      <c r="F4" s="38">
        <f t="shared" si="1"/>
        <v>0.87575150300601212</v>
      </c>
      <c r="G4" s="38">
        <f t="shared" si="1"/>
        <v>1.0594713656387666</v>
      </c>
      <c r="H4" s="38">
        <f t="shared" si="1"/>
        <v>0.54015748031496058</v>
      </c>
      <c r="I4" s="38">
        <f t="shared" si="1"/>
        <v>0.72291296625222035</v>
      </c>
      <c r="J4" s="38">
        <f t="shared" si="1"/>
        <v>1.1066666666666667</v>
      </c>
      <c r="K4" s="38">
        <f t="shared" si="1"/>
        <v>2.0065789473684212</v>
      </c>
      <c r="L4" s="38">
        <f t="shared" si="1"/>
        <v>0.44570502431118314</v>
      </c>
      <c r="M4" s="38">
        <f t="shared" si="1"/>
        <v>0.80082135523613962</v>
      </c>
      <c r="N4" s="38" t="e">
        <f t="shared" si="1"/>
        <v>#DIV/0!</v>
      </c>
      <c r="O4" s="38">
        <f t="shared" si="1"/>
        <v>1.195067264573991</v>
      </c>
      <c r="P4" s="38">
        <f t="shared" si="1"/>
        <v>0.20664206642066421</v>
      </c>
      <c r="Q4" s="38">
        <f t="shared" si="1"/>
        <v>1</v>
      </c>
      <c r="R4" s="38">
        <f t="shared" si="1"/>
        <v>0.92525252525252522</v>
      </c>
      <c r="S4" s="38">
        <f t="shared" si="1"/>
        <v>0.85110663983903412</v>
      </c>
      <c r="T4" s="38">
        <f t="shared" si="1"/>
        <v>0.97858672376873657</v>
      </c>
      <c r="U4" s="38">
        <f t="shared" si="1"/>
        <v>2.333333333333333</v>
      </c>
      <c r="V4" s="38">
        <f t="shared" si="1"/>
        <v>1.9376947040498442</v>
      </c>
      <c r="W4" s="38">
        <f t="shared" si="1"/>
        <v>1.9419354838709679</v>
      </c>
      <c r="X4" s="38">
        <f t="shared" si="1"/>
        <v>3.4835164835164836</v>
      </c>
      <c r="Y4" s="38">
        <f t="shared" si="1"/>
        <v>1.6474164133738602</v>
      </c>
      <c r="Z4" s="38">
        <f t="shared" si="1"/>
        <v>2.3837638376383761</v>
      </c>
      <c r="AC4" s="38">
        <f>AC3/AC2</f>
        <v>0.72453174965737777</v>
      </c>
      <c r="AD4" s="38">
        <f>AD3/AD2</f>
        <v>1.2709440130772376</v>
      </c>
      <c r="AE4" s="38">
        <f>AE3/AE2</f>
        <v>0.8942755572105443</v>
      </c>
      <c r="AF4" s="38">
        <f>AF3/AF2</f>
        <v>0.82890127020414195</v>
      </c>
      <c r="AH4" s="38">
        <f t="shared" si="0"/>
        <v>2.526076490619469E-3</v>
      </c>
    </row>
    <row r="5" spans="1:34" x14ac:dyDescent="0.25">
      <c r="A5" s="38" t="s">
        <v>58</v>
      </c>
      <c r="B5" s="38">
        <v>5.5E-2</v>
      </c>
      <c r="C5" s="38">
        <v>0.09</v>
      </c>
      <c r="D5" s="38">
        <v>9.9000000000000005E-2</v>
      </c>
      <c r="E5" s="38">
        <v>0.14000000000000001</v>
      </c>
      <c r="F5" s="38">
        <v>0.2</v>
      </c>
      <c r="G5" s="38">
        <v>8.2000000000000003E-2</v>
      </c>
      <c r="H5" s="38">
        <v>0.25</v>
      </c>
      <c r="I5" s="38">
        <v>8.8999999999999996E-2</v>
      </c>
      <c r="J5" s="38">
        <v>3.9E-2</v>
      </c>
      <c r="K5" s="38">
        <v>2.1999999999999999E-2</v>
      </c>
      <c r="L5" s="38">
        <v>0.14000000000000001</v>
      </c>
      <c r="M5" s="38">
        <v>0.13</v>
      </c>
      <c r="O5" s="38">
        <v>0.14000000000000001</v>
      </c>
      <c r="P5" s="38">
        <v>0.14000000000000001</v>
      </c>
      <c r="Q5" s="38">
        <v>0.13</v>
      </c>
      <c r="R5" s="38">
        <v>0.15</v>
      </c>
      <c r="S5" s="38">
        <v>0.21</v>
      </c>
      <c r="T5" s="38">
        <v>0.23</v>
      </c>
      <c r="U5" s="38">
        <v>0.63</v>
      </c>
      <c r="V5" s="38">
        <v>0.95</v>
      </c>
      <c r="W5" s="38">
        <v>0.77</v>
      </c>
      <c r="X5" s="38">
        <v>0.33</v>
      </c>
      <c r="Y5" s="38">
        <v>0.96</v>
      </c>
      <c r="Z5" s="38">
        <v>0.86</v>
      </c>
      <c r="AC5" s="38">
        <f t="shared" ref="AC5:AC20" si="2">AVERAGE(B5:M5)</f>
        <v>0.11133333333333333</v>
      </c>
      <c r="AD5" s="38">
        <f t="shared" ref="AD5:AD20" si="3">AVERAGE(O5:Z5)</f>
        <v>0.45833333333333343</v>
      </c>
      <c r="AE5" s="38">
        <f t="shared" ref="AE5:AE20" si="4">_xlfn.STDEV.S(B5:M5)/SQRT(COUNTA(B5:M5))</f>
        <v>1.8956622466925269E-2</v>
      </c>
      <c r="AF5" s="38">
        <f t="shared" ref="AF5:AF20" si="5">_xlfn.STDEV.S(O5:Z5)/SQRT(COUNTA(O5:Z5))</f>
        <v>9.9892619114403766E-2</v>
      </c>
      <c r="AH5" s="38">
        <f t="shared" si="0"/>
        <v>5.0969200839617364E-3</v>
      </c>
    </row>
    <row r="6" spans="1:34" x14ac:dyDescent="0.25">
      <c r="A6" s="38" t="s">
        <v>31</v>
      </c>
      <c r="B6" s="38">
        <v>1.25</v>
      </c>
      <c r="C6" s="38">
        <v>0.21</v>
      </c>
      <c r="D6" s="38">
        <v>0.94</v>
      </c>
      <c r="E6" s="38">
        <v>4.18</v>
      </c>
      <c r="F6" s="38">
        <v>1.75</v>
      </c>
      <c r="G6" s="38">
        <v>12.5</v>
      </c>
      <c r="H6" s="38">
        <v>0.18</v>
      </c>
      <c r="I6" s="38">
        <v>0.12</v>
      </c>
      <c r="J6" s="38">
        <v>6.6000000000000003E-2</v>
      </c>
      <c r="K6" s="38">
        <v>0.17</v>
      </c>
      <c r="L6" s="38">
        <v>0.36</v>
      </c>
      <c r="M6" s="38">
        <v>0.28999999999999998</v>
      </c>
      <c r="O6" s="38">
        <v>0.98</v>
      </c>
      <c r="P6" s="38">
        <v>0.12</v>
      </c>
      <c r="Q6" s="38">
        <v>0.77</v>
      </c>
      <c r="R6" s="38">
        <v>1.26</v>
      </c>
      <c r="S6" s="38">
        <v>3.72</v>
      </c>
      <c r="T6" s="38">
        <v>10.199999999999999</v>
      </c>
      <c r="U6" s="38">
        <v>1.07</v>
      </c>
      <c r="V6" s="38">
        <v>0.17</v>
      </c>
      <c r="W6" s="38">
        <v>0.13</v>
      </c>
      <c r="X6" s="38">
        <v>1.64</v>
      </c>
      <c r="Y6" s="38">
        <v>1.39</v>
      </c>
      <c r="Z6" s="38">
        <v>1.6</v>
      </c>
      <c r="AC6" s="38">
        <f t="shared" si="2"/>
        <v>1.8346666666666664</v>
      </c>
      <c r="AD6" s="38">
        <f t="shared" si="3"/>
        <v>1.9208333333333334</v>
      </c>
      <c r="AE6" s="38">
        <f t="shared" si="4"/>
        <v>1.0268251845353034</v>
      </c>
      <c r="AF6" s="38">
        <f t="shared" si="5"/>
        <v>0.8030759599656484</v>
      </c>
      <c r="AH6" s="38">
        <f t="shared" si="0"/>
        <v>0.84176273096590337</v>
      </c>
    </row>
    <row r="7" spans="1:34" x14ac:dyDescent="0.25">
      <c r="A7" s="38" t="s">
        <v>30</v>
      </c>
      <c r="B7" s="38">
        <v>0.39</v>
      </c>
      <c r="C7" s="38">
        <v>0.26</v>
      </c>
      <c r="D7" s="38">
        <v>0.15</v>
      </c>
      <c r="E7" s="38">
        <v>0.59</v>
      </c>
      <c r="F7" s="38">
        <v>0.26</v>
      </c>
      <c r="G7" s="38">
        <v>2.27</v>
      </c>
      <c r="H7" s="38">
        <v>0.27</v>
      </c>
      <c r="I7" s="38">
        <v>0.26</v>
      </c>
      <c r="J7" s="38">
        <v>0.31</v>
      </c>
      <c r="K7" s="38">
        <v>0.18</v>
      </c>
      <c r="L7" s="38">
        <v>0.14000000000000001</v>
      </c>
      <c r="M7" s="38">
        <v>0.24</v>
      </c>
      <c r="O7" s="38">
        <v>0.91</v>
      </c>
      <c r="P7" s="38">
        <v>1.21</v>
      </c>
      <c r="Q7" s="38">
        <v>0.97</v>
      </c>
      <c r="R7" s="38">
        <v>2.69</v>
      </c>
      <c r="S7" s="38">
        <v>1.41</v>
      </c>
      <c r="T7" s="38">
        <v>2.1</v>
      </c>
      <c r="U7" s="38">
        <v>12.9</v>
      </c>
      <c r="V7" s="38">
        <v>11.8</v>
      </c>
      <c r="W7" s="38">
        <v>19</v>
      </c>
      <c r="X7" s="38">
        <v>6.37</v>
      </c>
      <c r="Y7" s="38">
        <v>6.33</v>
      </c>
      <c r="Z7" s="38">
        <v>8.6</v>
      </c>
      <c r="AC7" s="38">
        <f t="shared" si="2"/>
        <v>0.44333333333333319</v>
      </c>
      <c r="AD7" s="38">
        <f t="shared" si="3"/>
        <v>6.190833333333333</v>
      </c>
      <c r="AE7" s="38">
        <f t="shared" si="4"/>
        <v>0.16963567616000658</v>
      </c>
      <c r="AF7" s="38">
        <f t="shared" si="5"/>
        <v>1.6926894765849452</v>
      </c>
      <c r="AH7" s="38">
        <f t="shared" si="0"/>
        <v>7.0427828346414003E-3</v>
      </c>
    </row>
    <row r="8" spans="1:34" x14ac:dyDescent="0.25">
      <c r="A8" s="38" t="s">
        <v>32</v>
      </c>
      <c r="B8" s="38">
        <v>1</v>
      </c>
      <c r="C8" s="38">
        <v>0.55000000000000004</v>
      </c>
      <c r="D8" s="38">
        <v>0.73</v>
      </c>
      <c r="E8" s="38">
        <v>2.2799999999999998</v>
      </c>
      <c r="F8" s="38">
        <v>0.94</v>
      </c>
      <c r="G8" s="38">
        <v>14.9</v>
      </c>
      <c r="H8" s="38">
        <v>0.53</v>
      </c>
      <c r="I8" s="38">
        <v>0.39</v>
      </c>
      <c r="J8" s="38">
        <v>0.25</v>
      </c>
      <c r="K8" s="38">
        <v>0.38</v>
      </c>
      <c r="L8" s="38">
        <v>1.21</v>
      </c>
      <c r="M8" s="38">
        <v>0.46</v>
      </c>
      <c r="O8" s="38">
        <v>0.45</v>
      </c>
      <c r="P8" s="38">
        <v>0.17</v>
      </c>
      <c r="Q8" s="38">
        <v>0.32</v>
      </c>
      <c r="R8" s="38">
        <v>0.31</v>
      </c>
      <c r="S8" s="38">
        <v>1.6</v>
      </c>
      <c r="T8" s="38">
        <v>5.38</v>
      </c>
      <c r="U8" s="38">
        <v>0.99</v>
      </c>
      <c r="V8" s="38">
        <v>0.81</v>
      </c>
      <c r="W8" s="38">
        <v>0.82</v>
      </c>
      <c r="X8" s="38">
        <v>3.3</v>
      </c>
      <c r="Y8" s="38">
        <v>6.43</v>
      </c>
      <c r="Z8" s="38">
        <v>1.1000000000000001</v>
      </c>
      <c r="AC8" s="38">
        <f t="shared" si="2"/>
        <v>1.9683333333333335</v>
      </c>
      <c r="AD8" s="38">
        <f t="shared" si="3"/>
        <v>1.8066666666666669</v>
      </c>
      <c r="AE8" s="38">
        <f t="shared" si="4"/>
        <v>1.1862564195524057</v>
      </c>
      <c r="AF8" s="38">
        <f t="shared" si="5"/>
        <v>0.60627568153456546</v>
      </c>
      <c r="AH8" s="38">
        <f t="shared" si="0"/>
        <v>0.87456803871836319</v>
      </c>
    </row>
    <row r="9" spans="1:34" x14ac:dyDescent="0.25">
      <c r="A9" s="38" t="s">
        <v>59</v>
      </c>
      <c r="B9" s="38">
        <v>25.8</v>
      </c>
      <c r="C9" s="38">
        <v>6.59</v>
      </c>
      <c r="D9" s="38">
        <v>20.100000000000001</v>
      </c>
      <c r="E9" s="38">
        <v>31.9</v>
      </c>
      <c r="F9" s="38">
        <v>50.9</v>
      </c>
      <c r="G9" s="38">
        <v>8.35</v>
      </c>
      <c r="H9" s="38">
        <v>69.3</v>
      </c>
      <c r="I9" s="38">
        <v>53.1</v>
      </c>
      <c r="J9" s="38">
        <v>36.799999999999997</v>
      </c>
      <c r="K9" s="38">
        <v>71.900000000000006</v>
      </c>
      <c r="L9" s="38">
        <v>68.099999999999994</v>
      </c>
      <c r="M9" s="38">
        <v>69.3</v>
      </c>
      <c r="O9" s="38">
        <v>3.43</v>
      </c>
      <c r="P9" s="38">
        <v>2.5499999999999998</v>
      </c>
      <c r="Q9" s="38">
        <v>5.4</v>
      </c>
      <c r="R9" s="38">
        <v>19.399999999999999</v>
      </c>
      <c r="S9" s="38">
        <v>7.56</v>
      </c>
      <c r="T9" s="38">
        <v>5.76</v>
      </c>
      <c r="U9" s="38">
        <v>49.1</v>
      </c>
      <c r="V9" s="38">
        <v>63.6</v>
      </c>
      <c r="W9" s="38">
        <v>61.1</v>
      </c>
      <c r="X9" s="38">
        <v>41.6</v>
      </c>
      <c r="Y9" s="38">
        <v>56.7</v>
      </c>
      <c r="Z9" s="38">
        <v>49.9</v>
      </c>
      <c r="AC9" s="38">
        <f t="shared" si="2"/>
        <v>42.678333333333335</v>
      </c>
      <c r="AD9" s="38">
        <f t="shared" si="3"/>
        <v>30.508333333333329</v>
      </c>
      <c r="AE9" s="38">
        <f t="shared" si="4"/>
        <v>7.0280762522955591</v>
      </c>
      <c r="AF9" s="38">
        <f t="shared" si="5"/>
        <v>7.2662867046895077</v>
      </c>
      <c r="AH9" s="38">
        <f t="shared" si="0"/>
        <v>3.8259639589776046E-2</v>
      </c>
    </row>
    <row r="10" spans="1:34" x14ac:dyDescent="0.25">
      <c r="A10" s="38" t="s">
        <v>60</v>
      </c>
      <c r="B10" s="38">
        <v>4.18</v>
      </c>
      <c r="C10" s="38">
        <v>1.03</v>
      </c>
      <c r="D10" s="38">
        <v>1.21</v>
      </c>
      <c r="E10" s="38">
        <v>8.11</v>
      </c>
      <c r="F10" s="38">
        <v>1.66</v>
      </c>
      <c r="G10" s="38">
        <v>4.29</v>
      </c>
      <c r="H10" s="38">
        <v>1.34</v>
      </c>
      <c r="I10" s="38">
        <v>0.23</v>
      </c>
      <c r="J10" s="38">
        <v>0.53</v>
      </c>
      <c r="K10" s="38">
        <v>1.53</v>
      </c>
      <c r="L10" s="38">
        <v>1.27</v>
      </c>
      <c r="M10" s="38">
        <v>0.57999999999999996</v>
      </c>
      <c r="O10" s="38">
        <v>0.32</v>
      </c>
      <c r="P10" s="38">
        <v>0.35</v>
      </c>
      <c r="Q10" s="38">
        <v>0.56000000000000005</v>
      </c>
      <c r="R10" s="38">
        <v>0.93</v>
      </c>
      <c r="S10" s="38">
        <v>1.55</v>
      </c>
      <c r="T10" s="38">
        <v>1.6</v>
      </c>
      <c r="U10" s="38">
        <v>0.57999999999999996</v>
      </c>
      <c r="V10" s="38">
        <v>0.38</v>
      </c>
      <c r="W10" s="38">
        <v>0.86</v>
      </c>
      <c r="X10" s="38">
        <v>0.88</v>
      </c>
      <c r="Y10" s="38">
        <v>0.94</v>
      </c>
      <c r="Z10" s="38">
        <v>0.31</v>
      </c>
      <c r="AC10" s="38">
        <f t="shared" si="2"/>
        <v>2.1633333333333331</v>
      </c>
      <c r="AD10" s="38">
        <f t="shared" si="3"/>
        <v>0.77166666666666683</v>
      </c>
      <c r="AE10" s="38">
        <f t="shared" si="4"/>
        <v>0.65821537109632644</v>
      </c>
      <c r="AF10" s="38">
        <f t="shared" si="5"/>
        <v>0.12894580335171901</v>
      </c>
      <c r="AH10" s="38">
        <f t="shared" si="0"/>
        <v>4.9790203606191803E-2</v>
      </c>
    </row>
    <row r="11" spans="1:34" x14ac:dyDescent="0.25">
      <c r="A11" s="38" t="s">
        <v>61</v>
      </c>
      <c r="B11" s="38">
        <v>20.3</v>
      </c>
      <c r="C11" s="38">
        <v>12.6</v>
      </c>
      <c r="D11" s="38">
        <v>36.6</v>
      </c>
      <c r="E11" s="38">
        <v>32.1</v>
      </c>
      <c r="F11" s="38">
        <v>55</v>
      </c>
      <c r="G11" s="38">
        <v>11.6</v>
      </c>
      <c r="H11" s="38">
        <v>33.9</v>
      </c>
      <c r="I11" s="38">
        <v>52.1</v>
      </c>
      <c r="J11" s="38">
        <v>39.799999999999997</v>
      </c>
      <c r="K11" s="38">
        <v>59.9</v>
      </c>
      <c r="L11" s="38">
        <v>45.8</v>
      </c>
      <c r="M11" s="38">
        <v>46.1</v>
      </c>
      <c r="O11" s="38">
        <v>7.7</v>
      </c>
      <c r="P11" s="38">
        <v>7.31</v>
      </c>
      <c r="Q11" s="38">
        <v>25.9</v>
      </c>
      <c r="R11" s="38">
        <v>35</v>
      </c>
      <c r="S11" s="38">
        <v>16.899999999999999</v>
      </c>
      <c r="T11" s="38">
        <v>11.2</v>
      </c>
      <c r="U11" s="38">
        <v>8.5</v>
      </c>
      <c r="V11" s="38">
        <v>4.8899999999999997</v>
      </c>
      <c r="W11" s="38">
        <v>8.91</v>
      </c>
      <c r="X11" s="38">
        <v>9.4</v>
      </c>
      <c r="Y11" s="38">
        <v>13.6</v>
      </c>
      <c r="Z11" s="38">
        <v>9.43</v>
      </c>
      <c r="AC11" s="38">
        <f t="shared" si="2"/>
        <v>37.15</v>
      </c>
      <c r="AD11" s="38">
        <f t="shared" si="3"/>
        <v>13.228333333333333</v>
      </c>
      <c r="AE11" s="38">
        <f t="shared" si="4"/>
        <v>4.6035477096638759</v>
      </c>
      <c r="AF11" s="38">
        <f t="shared" si="5"/>
        <v>2.5487899188644509</v>
      </c>
      <c r="AH11" s="38">
        <f t="shared" si="0"/>
        <v>8.3499158487007727E-4</v>
      </c>
    </row>
    <row r="12" spans="1:34" x14ac:dyDescent="0.25">
      <c r="A12" s="38" t="s">
        <v>62</v>
      </c>
      <c r="B12" s="38">
        <v>73.2</v>
      </c>
      <c r="C12" s="38">
        <v>84.8</v>
      </c>
      <c r="D12" s="38">
        <v>61.6</v>
      </c>
      <c r="E12" s="38">
        <v>57.7</v>
      </c>
      <c r="F12" s="38">
        <v>43</v>
      </c>
      <c r="G12" s="38">
        <v>81.5</v>
      </c>
      <c r="H12" s="38">
        <v>64.099999999999994</v>
      </c>
      <c r="I12" s="38">
        <v>47.5</v>
      </c>
      <c r="J12" s="38">
        <v>59.5</v>
      </c>
      <c r="K12" s="38">
        <v>37.9</v>
      </c>
      <c r="L12" s="38">
        <v>51.8</v>
      </c>
      <c r="M12" s="38">
        <v>53.2</v>
      </c>
      <c r="O12" s="38">
        <v>91.5</v>
      </c>
      <c r="P12" s="38">
        <v>91.4</v>
      </c>
      <c r="Q12" s="38">
        <v>73</v>
      </c>
      <c r="R12" s="38">
        <v>63.6</v>
      </c>
      <c r="S12" s="38">
        <v>79.599999999999994</v>
      </c>
      <c r="T12" s="38">
        <v>84.9</v>
      </c>
      <c r="U12" s="38">
        <v>86.8</v>
      </c>
      <c r="V12" s="38">
        <v>93.2</v>
      </c>
      <c r="W12" s="38">
        <v>86.8</v>
      </c>
      <c r="X12" s="38">
        <v>86.1</v>
      </c>
      <c r="Y12" s="38">
        <v>81.8</v>
      </c>
      <c r="Z12" s="38">
        <v>89.2</v>
      </c>
      <c r="AC12" s="38">
        <f t="shared" si="2"/>
        <v>59.65</v>
      </c>
      <c r="AD12" s="38">
        <f t="shared" si="3"/>
        <v>83.99166666666666</v>
      </c>
      <c r="AE12" s="38">
        <f t="shared" si="4"/>
        <v>4.1942511160208902</v>
      </c>
      <c r="AF12" s="38">
        <f t="shared" si="5"/>
        <v>2.4694330822022184</v>
      </c>
      <c r="AH12" s="38">
        <f t="shared" si="0"/>
        <v>2.0695944034420405E-4</v>
      </c>
    </row>
    <row r="13" spans="1:34" x14ac:dyDescent="0.25">
      <c r="A13" s="38" t="s">
        <v>65</v>
      </c>
      <c r="B13" s="38">
        <v>35</v>
      </c>
      <c r="C13" s="38">
        <v>11.2</v>
      </c>
      <c r="D13" s="38">
        <v>29.3</v>
      </c>
      <c r="E13" s="38">
        <v>44.3</v>
      </c>
      <c r="F13" s="38">
        <v>60.5</v>
      </c>
      <c r="G13" s="38">
        <v>18.100000000000001</v>
      </c>
      <c r="H13" s="38">
        <v>78.7</v>
      </c>
      <c r="I13" s="38">
        <v>62.2</v>
      </c>
      <c r="J13" s="38">
        <v>48.2</v>
      </c>
      <c r="K13" s="38">
        <v>81.2</v>
      </c>
      <c r="L13" s="38">
        <v>79.099999999999994</v>
      </c>
      <c r="M13" s="38">
        <v>80.2</v>
      </c>
      <c r="O13" s="38">
        <v>13.4</v>
      </c>
      <c r="P13" s="38">
        <v>8.52</v>
      </c>
      <c r="Q13" s="38">
        <v>19.7</v>
      </c>
      <c r="R13" s="38">
        <v>43.5</v>
      </c>
      <c r="S13" s="38">
        <v>30.5</v>
      </c>
      <c r="T13" s="38">
        <v>24.9</v>
      </c>
      <c r="U13" s="38">
        <v>96.1</v>
      </c>
      <c r="V13" s="38">
        <v>97.7</v>
      </c>
      <c r="W13" s="38">
        <v>98.4</v>
      </c>
      <c r="X13" s="38">
        <v>93.7</v>
      </c>
      <c r="Y13" s="38">
        <v>96</v>
      </c>
      <c r="Z13" s="38">
        <v>95.1</v>
      </c>
      <c r="AC13" s="38">
        <f t="shared" si="2"/>
        <v>52.333333333333336</v>
      </c>
      <c r="AD13" s="38">
        <f t="shared" si="3"/>
        <v>59.793333333333344</v>
      </c>
      <c r="AE13" s="38">
        <f t="shared" si="4"/>
        <v>7.2624014449405623</v>
      </c>
      <c r="AF13" s="38">
        <f t="shared" si="5"/>
        <v>11.242033498069516</v>
      </c>
      <c r="AH13" s="38">
        <f t="shared" si="0"/>
        <v>0.27604928754701208</v>
      </c>
    </row>
    <row r="14" spans="1:34" x14ac:dyDescent="0.25">
      <c r="A14" s="38" t="s">
        <v>66</v>
      </c>
      <c r="B14" s="38">
        <v>33.6</v>
      </c>
      <c r="C14" s="38">
        <v>23</v>
      </c>
      <c r="D14" s="38">
        <v>41.9</v>
      </c>
      <c r="E14" s="38">
        <v>36.4</v>
      </c>
      <c r="F14" s="38">
        <v>24.7</v>
      </c>
      <c r="G14" s="38">
        <v>41.4</v>
      </c>
      <c r="H14" s="38">
        <v>22.7</v>
      </c>
      <c r="I14" s="38">
        <v>16</v>
      </c>
      <c r="J14" s="38">
        <v>13.8</v>
      </c>
      <c r="K14" s="38">
        <v>11.7</v>
      </c>
      <c r="L14" s="38">
        <v>13</v>
      </c>
      <c r="M14" s="38">
        <v>13.4</v>
      </c>
      <c r="O14" s="38">
        <v>25.6</v>
      </c>
      <c r="P14" s="38">
        <v>15.5</v>
      </c>
      <c r="Q14" s="38">
        <v>35.200000000000003</v>
      </c>
      <c r="R14" s="38">
        <v>30.3</v>
      </c>
      <c r="S14" s="38">
        <v>33.1</v>
      </c>
      <c r="T14" s="38">
        <v>30.1</v>
      </c>
      <c r="U14" s="38">
        <v>31.9</v>
      </c>
      <c r="V14" s="38">
        <v>25.3</v>
      </c>
      <c r="W14" s="38">
        <v>27.8</v>
      </c>
      <c r="X14" s="38">
        <v>30.3</v>
      </c>
      <c r="Y14" s="38">
        <v>30.3</v>
      </c>
      <c r="Z14" s="38">
        <v>30.7</v>
      </c>
      <c r="AC14" s="38">
        <f t="shared" si="2"/>
        <v>24.299999999999997</v>
      </c>
      <c r="AD14" s="38">
        <f t="shared" si="3"/>
        <v>28.841666666666669</v>
      </c>
      <c r="AE14" s="38">
        <f t="shared" si="4"/>
        <v>3.2843522492220152</v>
      </c>
      <c r="AF14" s="38">
        <f t="shared" si="5"/>
        <v>1.460254146276309</v>
      </c>
      <c r="AH14" s="38">
        <f t="shared" si="0"/>
        <v>0.20001185502063237</v>
      </c>
    </row>
    <row r="15" spans="1:34" x14ac:dyDescent="0.25">
      <c r="A15" s="38" t="s">
        <v>67</v>
      </c>
      <c r="B15" s="38">
        <v>75.2</v>
      </c>
      <c r="C15" s="38">
        <v>45.9</v>
      </c>
      <c r="D15" s="38">
        <v>59.6</v>
      </c>
      <c r="E15" s="38">
        <v>78</v>
      </c>
      <c r="F15" s="38">
        <v>84.5</v>
      </c>
      <c r="G15" s="38">
        <v>85.5</v>
      </c>
      <c r="H15" s="38">
        <v>77.400000000000006</v>
      </c>
      <c r="I15" s="38">
        <v>90</v>
      </c>
      <c r="J15" s="38">
        <v>85.8</v>
      </c>
      <c r="K15" s="38">
        <v>44.5</v>
      </c>
      <c r="L15" s="38">
        <v>59.9</v>
      </c>
      <c r="M15" s="38">
        <v>82.6</v>
      </c>
      <c r="O15" s="38">
        <v>49.6</v>
      </c>
      <c r="P15" s="38">
        <v>33.9</v>
      </c>
      <c r="Q15" s="38">
        <v>32</v>
      </c>
      <c r="R15" s="38">
        <v>51.8</v>
      </c>
      <c r="S15" s="38">
        <v>53</v>
      </c>
      <c r="T15" s="38">
        <v>64.7</v>
      </c>
      <c r="U15" s="38">
        <v>84.7</v>
      </c>
      <c r="V15" s="38">
        <v>84.8</v>
      </c>
      <c r="W15" s="38">
        <v>88.2</v>
      </c>
      <c r="X15" s="38">
        <v>71.400000000000006</v>
      </c>
      <c r="Y15" s="38">
        <v>75.2</v>
      </c>
      <c r="Z15" s="38">
        <v>85</v>
      </c>
      <c r="AC15" s="38">
        <f t="shared" si="2"/>
        <v>72.408333333333331</v>
      </c>
      <c r="AD15" s="38">
        <f t="shared" si="3"/>
        <v>64.525000000000006</v>
      </c>
      <c r="AE15" s="38">
        <f t="shared" si="4"/>
        <v>4.5861527141136289</v>
      </c>
      <c r="AF15" s="38">
        <f t="shared" si="5"/>
        <v>5.8207846628190092</v>
      </c>
      <c r="AH15" s="38">
        <f t="shared" si="0"/>
        <v>0.17872722761072332</v>
      </c>
    </row>
    <row r="16" spans="1:34" x14ac:dyDescent="0.25">
      <c r="A16" s="38" t="s">
        <v>68</v>
      </c>
      <c r="B16" s="38">
        <v>50.4</v>
      </c>
      <c r="C16" s="38">
        <v>48.9</v>
      </c>
      <c r="D16" s="38">
        <v>54.3</v>
      </c>
      <c r="E16" s="38">
        <v>54.7</v>
      </c>
      <c r="F16" s="38">
        <v>75.599999999999994</v>
      </c>
      <c r="G16" s="38">
        <v>27.8</v>
      </c>
      <c r="H16" s="38">
        <v>87.4</v>
      </c>
      <c r="I16" s="38">
        <v>83.6</v>
      </c>
      <c r="J16" s="38">
        <v>70.2</v>
      </c>
      <c r="K16" s="38">
        <v>92.7</v>
      </c>
      <c r="L16" s="38">
        <v>86.1</v>
      </c>
      <c r="M16" s="38">
        <v>85.3</v>
      </c>
      <c r="O16" s="38">
        <v>16.100000000000001</v>
      </c>
      <c r="P16" s="38">
        <v>36.9</v>
      </c>
      <c r="Q16" s="38">
        <v>28.5</v>
      </c>
      <c r="R16" s="38">
        <v>29.3</v>
      </c>
      <c r="S16" s="38">
        <v>16</v>
      </c>
      <c r="T16" s="38">
        <v>14.3</v>
      </c>
      <c r="U16" s="38">
        <v>39.4</v>
      </c>
      <c r="V16" s="38">
        <v>56.7</v>
      </c>
      <c r="W16" s="38">
        <v>52.5</v>
      </c>
      <c r="X16" s="38">
        <v>33.6</v>
      </c>
      <c r="Y16" s="38">
        <v>47.3</v>
      </c>
      <c r="Z16" s="38">
        <v>42.3</v>
      </c>
      <c r="AC16" s="38">
        <f t="shared" si="2"/>
        <v>68.083333333333343</v>
      </c>
      <c r="AD16" s="38">
        <f t="shared" si="3"/>
        <v>34.408333333333339</v>
      </c>
      <c r="AE16" s="38">
        <f t="shared" si="4"/>
        <v>5.8868218689859759</v>
      </c>
      <c r="AF16" s="38">
        <f t="shared" si="5"/>
        <v>4.1045883109052674</v>
      </c>
      <c r="AH16" s="60">
        <f>_xlfn.T.TEST(B16:M16,O16:Z16,2,1)</f>
        <v>1.921339509738079E-5</v>
      </c>
    </row>
    <row r="17" spans="1:34" x14ac:dyDescent="0.25">
      <c r="A17" s="38" t="s">
        <v>69</v>
      </c>
      <c r="B17" s="38">
        <v>28</v>
      </c>
      <c r="C17" s="38">
        <v>17.5</v>
      </c>
      <c r="D17" s="38">
        <v>34.200000000000003</v>
      </c>
      <c r="E17" s="38">
        <v>32.700000000000003</v>
      </c>
      <c r="F17" s="38">
        <v>37.299999999999997</v>
      </c>
      <c r="G17" s="38">
        <v>13.8</v>
      </c>
      <c r="H17" s="38">
        <v>40</v>
      </c>
      <c r="I17" s="38">
        <v>31.6</v>
      </c>
      <c r="J17" s="38">
        <v>28.1</v>
      </c>
      <c r="K17" s="38">
        <v>43.1</v>
      </c>
      <c r="L17" s="38">
        <v>46.6</v>
      </c>
      <c r="M17" s="38">
        <v>44.1</v>
      </c>
      <c r="O17" s="38">
        <v>12.8</v>
      </c>
      <c r="P17" s="38">
        <v>13.1</v>
      </c>
      <c r="Q17" s="38">
        <v>26.4</v>
      </c>
      <c r="R17" s="38">
        <v>23.9</v>
      </c>
      <c r="S17" s="38">
        <v>17.899999999999999</v>
      </c>
      <c r="T17" s="38">
        <v>10.8</v>
      </c>
      <c r="U17" s="38">
        <v>42.4</v>
      </c>
      <c r="V17" s="38">
        <v>47.3</v>
      </c>
      <c r="W17" s="38">
        <v>49.9</v>
      </c>
      <c r="X17" s="38">
        <v>39.5</v>
      </c>
      <c r="Y17" s="38">
        <v>46.2</v>
      </c>
      <c r="Z17" s="38">
        <v>43.1</v>
      </c>
      <c r="AC17" s="38">
        <f t="shared" si="2"/>
        <v>33.083333333333336</v>
      </c>
      <c r="AD17" s="38">
        <f t="shared" si="3"/>
        <v>31.108333333333334</v>
      </c>
      <c r="AE17" s="38">
        <f t="shared" si="4"/>
        <v>2.9374497631638019</v>
      </c>
      <c r="AF17" s="38">
        <f t="shared" si="5"/>
        <v>4.3565425952053287</v>
      </c>
      <c r="AH17" s="38">
        <f t="shared" si="0"/>
        <v>0.56578016964986233</v>
      </c>
    </row>
    <row r="18" spans="1:34" x14ac:dyDescent="0.25">
      <c r="A18" s="38" t="s">
        <v>70</v>
      </c>
      <c r="B18" s="38">
        <v>0.41</v>
      </c>
      <c r="C18" s="38">
        <v>0.4</v>
      </c>
      <c r="D18" s="38">
        <v>0.56000000000000005</v>
      </c>
      <c r="E18" s="38">
        <v>0.87</v>
      </c>
      <c r="F18" s="38">
        <v>1.56</v>
      </c>
      <c r="G18" s="38">
        <v>0.76</v>
      </c>
      <c r="H18" s="38">
        <v>2.57</v>
      </c>
      <c r="I18" s="38">
        <v>1.7</v>
      </c>
      <c r="J18" s="38">
        <v>0.76</v>
      </c>
      <c r="K18" s="38">
        <v>0.69</v>
      </c>
      <c r="L18" s="38">
        <v>2.09</v>
      </c>
      <c r="M18" s="38">
        <v>2.37</v>
      </c>
      <c r="O18" s="38">
        <v>0.98</v>
      </c>
      <c r="P18" s="38">
        <v>0.63</v>
      </c>
      <c r="Q18" s="38">
        <v>0.76</v>
      </c>
      <c r="R18" s="38">
        <v>1.9</v>
      </c>
      <c r="S18" s="38">
        <v>1.86</v>
      </c>
      <c r="T18" s="38">
        <v>2.0499999999999998</v>
      </c>
      <c r="U18" s="38">
        <v>8.64</v>
      </c>
      <c r="V18" s="38">
        <v>8.61</v>
      </c>
      <c r="W18" s="38">
        <v>12.4</v>
      </c>
      <c r="X18" s="38">
        <v>6.96</v>
      </c>
      <c r="Y18" s="38">
        <v>10.7</v>
      </c>
      <c r="Z18" s="38">
        <v>8.44</v>
      </c>
      <c r="AC18" s="38">
        <f t="shared" si="2"/>
        <v>1.2283333333333333</v>
      </c>
      <c r="AD18" s="38">
        <f t="shared" si="3"/>
        <v>5.3274999999999997</v>
      </c>
      <c r="AE18" s="38">
        <f t="shared" si="4"/>
        <v>0.22759890734856936</v>
      </c>
      <c r="AF18" s="38">
        <f t="shared" si="5"/>
        <v>1.2592891964529163</v>
      </c>
      <c r="AH18" s="38">
        <f t="shared" si="0"/>
        <v>4.2334809158382928E-3</v>
      </c>
    </row>
    <row r="19" spans="1:34" x14ac:dyDescent="0.25">
      <c r="A19" s="38" t="s">
        <v>71</v>
      </c>
      <c r="B19" s="38">
        <v>41.7</v>
      </c>
      <c r="C19" s="38">
        <v>23.4</v>
      </c>
      <c r="D19" s="38">
        <v>33.799999999999997</v>
      </c>
      <c r="E19" s="38">
        <v>46.2</v>
      </c>
      <c r="F19" s="38">
        <v>23.9</v>
      </c>
      <c r="G19" s="38">
        <v>41.3</v>
      </c>
      <c r="H19" s="38">
        <v>8.2200000000000006</v>
      </c>
      <c r="I19" s="38">
        <v>9.17</v>
      </c>
      <c r="J19" s="38">
        <v>4.13</v>
      </c>
      <c r="K19" s="38">
        <v>12.2</v>
      </c>
      <c r="L19" s="38">
        <v>12.9</v>
      </c>
      <c r="M19" s="38">
        <v>7.61</v>
      </c>
      <c r="O19" s="38">
        <v>26.4</v>
      </c>
      <c r="P19" s="38">
        <v>13.3</v>
      </c>
      <c r="Q19" s="38">
        <v>25.2</v>
      </c>
      <c r="R19" s="38">
        <v>35.700000000000003</v>
      </c>
      <c r="S19" s="38">
        <v>37.4</v>
      </c>
      <c r="T19" s="38">
        <v>28.7</v>
      </c>
      <c r="U19" s="38">
        <v>26.8</v>
      </c>
      <c r="V19" s="38">
        <v>24.8</v>
      </c>
      <c r="W19" s="38">
        <v>33.799999999999997</v>
      </c>
      <c r="X19" s="38">
        <v>32.1</v>
      </c>
      <c r="Y19" s="38">
        <v>34.700000000000003</v>
      </c>
      <c r="Z19" s="38">
        <v>31.3</v>
      </c>
      <c r="AC19" s="38">
        <f t="shared" si="2"/>
        <v>22.044166666666666</v>
      </c>
      <c r="AD19" s="38">
        <f t="shared" si="3"/>
        <v>29.183333333333337</v>
      </c>
      <c r="AE19" s="38">
        <f t="shared" si="4"/>
        <v>4.3959027856067365</v>
      </c>
      <c r="AF19" s="38">
        <f t="shared" si="5"/>
        <v>1.898437688354726</v>
      </c>
      <c r="AH19" s="38">
        <f t="shared" si="0"/>
        <v>0.17199154967541183</v>
      </c>
    </row>
    <row r="20" spans="1:34" x14ac:dyDescent="0.25">
      <c r="A20" s="38" t="s">
        <v>72</v>
      </c>
      <c r="B20" s="38">
        <v>6.97</v>
      </c>
      <c r="C20" s="38">
        <v>10.1</v>
      </c>
      <c r="D20" s="38">
        <v>14.2</v>
      </c>
      <c r="E20" s="38">
        <v>7.66</v>
      </c>
      <c r="F20" s="38">
        <v>12.5</v>
      </c>
      <c r="G20" s="38">
        <v>9.14</v>
      </c>
      <c r="H20" s="38">
        <v>5.64</v>
      </c>
      <c r="I20" s="38">
        <v>4.0199999999999996</v>
      </c>
      <c r="J20" s="38">
        <v>4.7</v>
      </c>
      <c r="K20" s="38">
        <v>2.13</v>
      </c>
      <c r="L20" s="38">
        <v>4.51</v>
      </c>
      <c r="M20" s="38">
        <v>5.85</v>
      </c>
      <c r="O20" s="38">
        <v>7.49</v>
      </c>
      <c r="P20" s="38">
        <v>7.21</v>
      </c>
      <c r="Q20" s="38">
        <v>12</v>
      </c>
      <c r="R20" s="38">
        <v>17.7</v>
      </c>
      <c r="S20" s="38">
        <v>8.48</v>
      </c>
      <c r="T20" s="38">
        <v>10</v>
      </c>
      <c r="U20" s="38">
        <v>16.600000000000001</v>
      </c>
      <c r="V20" s="38">
        <v>24.3</v>
      </c>
      <c r="W20" s="38">
        <v>15.6</v>
      </c>
      <c r="X20" s="38">
        <v>13</v>
      </c>
      <c r="Y20" s="38">
        <v>16.399999999999999</v>
      </c>
      <c r="Z20" s="38">
        <v>18.3</v>
      </c>
      <c r="AC20" s="38">
        <f t="shared" si="2"/>
        <v>7.2849999999999993</v>
      </c>
      <c r="AD20" s="38">
        <f t="shared" si="3"/>
        <v>13.923333333333334</v>
      </c>
      <c r="AE20" s="38">
        <f t="shared" si="4"/>
        <v>1.0408362750765139</v>
      </c>
      <c r="AF20" s="38">
        <f t="shared" si="5"/>
        <v>1.4904597284127461</v>
      </c>
      <c r="AH20" s="38">
        <f t="shared" si="0"/>
        <v>1.3140570916326165E-2</v>
      </c>
    </row>
  </sheetData>
  <sheetProtection algorithmName="SHA-512" hashValue="p8a73KipKfpgzUkc89HsSGiG3qT1Y5wK7Ze8Iyaj1QFwPVOY/E70ypXthr3GNC7+RbUTVIcA6+VIsTjnEPe4Vg==" saltValue="EbRcp+5kvB7QIHSNgjRdVA==" spinCount="100000" sheet="1" objects="1" scenarios="1"/>
  <phoneticPr fontId="4" type="noConversion"/>
  <conditionalFormatting sqref="AH2:AH20">
    <cfRule type="cellIs" dxfId="0" priority="2" operator="lessThan">
      <formula>0.07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Allo-React</vt:lpstr>
      <vt:lpstr>Auto-react</vt:lpstr>
      <vt:lpstr>Flow-cleaned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Plaugher, Daniel R.</dc:creator>
  <cp:lastModifiedBy>Plaugher, Daniel R.</cp:lastModifiedBy>
  <dcterms:created xsi:type="dcterms:W3CDTF">2026-01-28T14:16:33Z</dcterms:created>
  <dcterms:modified xsi:type="dcterms:W3CDTF">2026-02-13T17:43:22Z</dcterms:modified>
</cp:coreProperties>
</file>