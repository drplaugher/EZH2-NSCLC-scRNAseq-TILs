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ky-my.sharepoint.com/personal/drpl222_uky_edu/Documents/"/>
    </mc:Choice>
  </mc:AlternateContent>
  <xr:revisionPtr revIDLastSave="211" documentId="8_{18E542D1-46D3-4EF9-9CEE-6A83AC7C678A}" xr6:coauthVersionLast="47" xr6:coauthVersionMax="47" xr10:uidLastSave="{C7A243CC-955E-4A9D-B7B7-F86FA01A3792}"/>
  <bookViews>
    <workbookView xWindow="-120" yWindow="-120" windowWidth="29040" windowHeight="15720" xr2:uid="{A97C8725-D596-4AAF-9A07-39C657EC8354}"/>
  </bookViews>
  <sheets>
    <sheet name="Ezh2_celltype_activit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3" i="2"/>
</calcChain>
</file>

<file path=xl/sharedStrings.xml><?xml version="1.0" encoding="utf-8"?>
<sst xmlns="http://schemas.openxmlformats.org/spreadsheetml/2006/main" count="47" uniqueCount="28">
  <si>
    <t>1_Jun-Lung_Control</t>
  </si>
  <si>
    <t>2_Jun-Lung_GSK</t>
  </si>
  <si>
    <t>4_Aug-Lung3_GSK</t>
  </si>
  <si>
    <t>6_Oct-Lung_Placebo</t>
  </si>
  <si>
    <t>B cells</t>
  </si>
  <si>
    <t>Dendritic</t>
  </si>
  <si>
    <t>Eryth.</t>
  </si>
  <si>
    <t>Lung Ep.</t>
  </si>
  <si>
    <t>Macs 1</t>
  </si>
  <si>
    <t>Macs 2</t>
  </si>
  <si>
    <t>Macs 3</t>
  </si>
  <si>
    <t>Neu-1</t>
  </si>
  <si>
    <t>Neu-2</t>
  </si>
  <si>
    <t>Neu-3</t>
  </si>
  <si>
    <t>Neu-4 classic</t>
  </si>
  <si>
    <t>Neu-5 IFN</t>
  </si>
  <si>
    <t>Prol.</t>
  </si>
  <si>
    <t>T cells</t>
  </si>
  <si>
    <t>T cells 2</t>
  </si>
  <si>
    <t>Tumor</t>
  </si>
  <si>
    <t>Raw</t>
  </si>
  <si>
    <t>log2FC</t>
  </si>
  <si>
    <t>FC</t>
  </si>
  <si>
    <t>EZH2i-PM vs Veh-PM</t>
  </si>
  <si>
    <t>EZH2i-M vs Veh-M</t>
  </si>
  <si>
    <t xml:space="preserve">Neu-5 </t>
  </si>
  <si>
    <t xml:space="preserve">Neu-4 </t>
  </si>
  <si>
    <t>T cells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</si>
</sst>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>
                  <a:alpha val="76000"/>
                </a:srgbClr>
              </a:solidFill>
              <a:ln w="1587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1.5039300863944612E-2"/>
                  <c:y val="5.1099810440361625E-2"/>
                </c:manualLayout>
              </c:layout>
              <c:tx>
                <c:rich>
                  <a:bodyPr/>
                  <a:lstStyle/>
                  <a:p>
                    <a:fld id="{D6DE9465-0E0F-4E29-9AB3-3E423F9F2F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D09-4E15-8D56-0BD8749F575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C89FF03-20DF-4A5E-9F7A-980A76D33D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D09-4E15-8D56-0BD8749F5757}"/>
                </c:ext>
              </c:extLst>
            </c:dLbl>
            <c:dLbl>
              <c:idx val="2"/>
              <c:layout>
                <c:manualLayout>
                  <c:x val="-8.1604330708661424E-2"/>
                  <c:y val="-5.0752041411490229E-2"/>
                </c:manualLayout>
              </c:layout>
              <c:tx>
                <c:rich>
                  <a:bodyPr/>
                  <a:lstStyle/>
                  <a:p>
                    <a:fld id="{F443FCBD-647B-401B-B84F-D5F44BBC4F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8D09-4E15-8D56-0BD8749F575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4F3C8CE-2EFF-4490-9FEB-0A1CD5337A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D09-4E15-8D56-0BD8749F5757}"/>
                </c:ext>
              </c:extLst>
            </c:dLbl>
            <c:dLbl>
              <c:idx val="4"/>
              <c:layout>
                <c:manualLayout>
                  <c:x val="-0.13231345432209082"/>
                  <c:y val="9.1757801108193118E-3"/>
                </c:manualLayout>
              </c:layout>
              <c:tx>
                <c:rich>
                  <a:bodyPr/>
                  <a:lstStyle/>
                  <a:p>
                    <a:fld id="{38F8A212-727D-44D1-8560-3BBC818FB5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D09-4E15-8D56-0BD8749F575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6B05FDB-53DD-49CA-8E39-20B75584F9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D09-4E15-8D56-0BD8749F5757}"/>
                </c:ext>
              </c:extLst>
            </c:dLbl>
            <c:dLbl>
              <c:idx val="6"/>
              <c:layout>
                <c:manualLayout>
                  <c:x val="-7.2104954229211371E-2"/>
                  <c:y val="4.6470180810731995E-2"/>
                </c:manualLayout>
              </c:layout>
              <c:tx>
                <c:rich>
                  <a:bodyPr/>
                  <a:lstStyle/>
                  <a:p>
                    <a:fld id="{ABBAF915-D59B-47D4-ABCB-C7BFAFC9E7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8D09-4E15-8D56-0BD8749F575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EFE72C9-9B6B-461E-A16B-3348853A7C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D09-4E15-8D56-0BD8749F5757}"/>
                </c:ext>
              </c:extLst>
            </c:dLbl>
            <c:dLbl>
              <c:idx val="8"/>
              <c:layout>
                <c:manualLayout>
                  <c:x val="1.9162895636227823E-2"/>
                  <c:y val="-6.0011300670749529E-2"/>
                </c:manualLayout>
              </c:layout>
              <c:tx>
                <c:rich>
                  <a:bodyPr/>
                  <a:lstStyle/>
                  <a:p>
                    <a:fld id="{2654952A-0A80-40DC-A531-F45A67BD1B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8D09-4E15-8D56-0BD8749F5757}"/>
                </c:ext>
              </c:extLst>
            </c:dLbl>
            <c:dLbl>
              <c:idx val="9"/>
              <c:layout>
                <c:manualLayout>
                  <c:x val="-2.242012295039926E-2"/>
                  <c:y val="6.9618328958880135E-2"/>
                </c:manualLayout>
              </c:layout>
              <c:tx>
                <c:rich>
                  <a:bodyPr/>
                  <a:lstStyle/>
                  <a:p>
                    <a:fld id="{2882CFD3-ADF9-453E-A838-12E400459A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8D09-4E15-8D56-0BD8749F575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3F7D611-21B3-47C9-9349-60A3771107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D09-4E15-8D56-0BD8749F575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13F217F-6AFB-4411-8B00-48480D03E0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D09-4E15-8D56-0BD8749F5757}"/>
                </c:ext>
              </c:extLst>
            </c:dLbl>
            <c:dLbl>
              <c:idx val="12"/>
              <c:layout>
                <c:manualLayout>
                  <c:x val="-9.1052622273174455E-2"/>
                  <c:y val="8.0983887430737742E-2"/>
                </c:manualLayout>
              </c:layout>
              <c:tx>
                <c:rich>
                  <a:bodyPr/>
                  <a:lstStyle/>
                  <a:p>
                    <a:fld id="{54B55B56-ACE9-44D1-928A-BBCC02B1BE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8D09-4E15-8D56-0BD8749F5757}"/>
                </c:ext>
              </c:extLst>
            </c:dLbl>
            <c:dLbl>
              <c:idx val="13"/>
              <c:layout>
                <c:manualLayout>
                  <c:x val="-6.8861478779454366E-2"/>
                  <c:y val="-5.5381671041119858E-2"/>
                </c:manualLayout>
              </c:layout>
              <c:tx>
                <c:rich>
                  <a:bodyPr/>
                  <a:lstStyle/>
                  <a:p>
                    <a:fld id="{BE41797C-DDF1-4EC1-B8DF-EDE61E42BC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8D09-4E15-8D56-0BD8749F5757}"/>
                </c:ext>
              </c:extLst>
            </c:dLbl>
            <c:dLbl>
              <c:idx val="14"/>
              <c:layout>
                <c:manualLayout>
                  <c:x val="-8.099673513276115E-2"/>
                  <c:y val="4.6470180810731995E-2"/>
                </c:manualLayout>
              </c:layout>
              <c:tx>
                <c:rich>
                  <a:bodyPr/>
                  <a:lstStyle/>
                  <a:p>
                    <a:fld id="{0119D172-6A1C-42B9-B02E-B5C78D7A4E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8D09-4E15-8D56-0BD8749F5757}"/>
                </c:ext>
              </c:extLst>
            </c:dLbl>
            <c:dLbl>
              <c:idx val="15"/>
              <c:layout>
                <c:manualLayout>
                  <c:x val="-0.14091797405787176"/>
                  <c:y val="6.9618328958880135E-2"/>
                </c:manualLayout>
              </c:layout>
              <c:tx>
                <c:rich>
                  <a:bodyPr/>
                  <a:lstStyle/>
                  <a:p>
                    <a:fld id="{C72FDA7B-9326-4B04-A720-AB435074B4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8D09-4E15-8D56-0BD8749F57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Ezh2_celltype_activity!$I$22:$I$37</c:f>
              <c:numCache>
                <c:formatCode>General</c:formatCode>
                <c:ptCount val="16"/>
                <c:pt idx="0">
                  <c:v>1.8715265382980062</c:v>
                </c:pt>
                <c:pt idx="1">
                  <c:v>2.3125785928081499</c:v>
                </c:pt>
                <c:pt idx="2">
                  <c:v>-2.2125975677277903</c:v>
                </c:pt>
                <c:pt idx="3">
                  <c:v>1.3685013800530068</c:v>
                </c:pt>
                <c:pt idx="4">
                  <c:v>2.432524899282138</c:v>
                </c:pt>
                <c:pt idx="5">
                  <c:v>0.96636169390271054</c:v>
                </c:pt>
                <c:pt idx="6">
                  <c:v>0.3873710649138723</c:v>
                </c:pt>
                <c:pt idx="7">
                  <c:v>7.4560646828396221E-2</c:v>
                </c:pt>
                <c:pt idx="8">
                  <c:v>-0.93528674458995031</c:v>
                </c:pt>
                <c:pt idx="9">
                  <c:v>-0.75097463543206644</c:v>
                </c:pt>
                <c:pt idx="10">
                  <c:v>-2.7299473789564961</c:v>
                </c:pt>
                <c:pt idx="11">
                  <c:v>1.4209510881341505</c:v>
                </c:pt>
                <c:pt idx="12">
                  <c:v>-0.87436083416788168</c:v>
                </c:pt>
                <c:pt idx="13">
                  <c:v>0.89929230095765111</c:v>
                </c:pt>
                <c:pt idx="14">
                  <c:v>0.31258763857681382</c:v>
                </c:pt>
                <c:pt idx="15">
                  <c:v>-1.0126696106209905</c:v>
                </c:pt>
              </c:numCache>
            </c:numRef>
          </c:xVal>
          <c:yVal>
            <c:numRef>
              <c:f>Ezh2_celltype_activity!$J$22:$J$37</c:f>
              <c:numCache>
                <c:formatCode>General</c:formatCode>
                <c:ptCount val="16"/>
                <c:pt idx="0">
                  <c:v>-1.0552539298027159</c:v>
                </c:pt>
                <c:pt idx="1">
                  <c:v>-2.6759101271553223</c:v>
                </c:pt>
                <c:pt idx="2">
                  <c:v>0.40790672104985243</c:v>
                </c:pt>
                <c:pt idx="3">
                  <c:v>-1.0819478364849333</c:v>
                </c:pt>
                <c:pt idx="4">
                  <c:v>-4.6047686302992386</c:v>
                </c:pt>
                <c:pt idx="5">
                  <c:v>-4.1517258468159026</c:v>
                </c:pt>
                <c:pt idx="6">
                  <c:v>-1.6504701946952924</c:v>
                </c:pt>
                <c:pt idx="7">
                  <c:v>-2.6459055359836073E-2</c:v>
                </c:pt>
                <c:pt idx="8">
                  <c:v>-5.4298942942735802E-2</c:v>
                </c:pt>
                <c:pt idx="9">
                  <c:v>-0.43970292920775428</c:v>
                </c:pt>
                <c:pt idx="10">
                  <c:v>-0.79931066956685948</c:v>
                </c:pt>
                <c:pt idx="11">
                  <c:v>3.1174183189980966</c:v>
                </c:pt>
                <c:pt idx="12">
                  <c:v>-0.65362584508535304</c:v>
                </c:pt>
                <c:pt idx="13">
                  <c:v>-0.61924929877557866</c:v>
                </c:pt>
                <c:pt idx="14">
                  <c:v>-2.9340089532574685</c:v>
                </c:pt>
                <c:pt idx="15">
                  <c:v>6.4390794601611206E-2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Ezh2_celltype_activity!$H$22:$H$37</c15:f>
                <c15:dlblRangeCache>
                  <c:ptCount val="16"/>
                  <c:pt idx="0">
                    <c:v>B cells</c:v>
                  </c:pt>
                  <c:pt idx="1">
                    <c:v>Dendritic</c:v>
                  </c:pt>
                  <c:pt idx="2">
                    <c:v>Eryth.</c:v>
                  </c:pt>
                  <c:pt idx="3">
                    <c:v>Lung Ep.</c:v>
                  </c:pt>
                  <c:pt idx="4">
                    <c:v>Macs 1</c:v>
                  </c:pt>
                  <c:pt idx="5">
                    <c:v>Macs 2</c:v>
                  </c:pt>
                  <c:pt idx="6">
                    <c:v>Macs 3</c:v>
                  </c:pt>
                  <c:pt idx="7">
                    <c:v>Neu-1</c:v>
                  </c:pt>
                  <c:pt idx="8">
                    <c:v>Neu-2</c:v>
                  </c:pt>
                  <c:pt idx="9">
                    <c:v>Neu-3</c:v>
                  </c:pt>
                  <c:pt idx="10">
                    <c:v>Neu-4 </c:v>
                  </c:pt>
                  <c:pt idx="11">
                    <c:v>Neu-5 </c:v>
                  </c:pt>
                  <c:pt idx="12">
                    <c:v>Prol.</c:v>
                  </c:pt>
                  <c:pt idx="13">
                    <c:v>T cells 1</c:v>
                  </c:pt>
                  <c:pt idx="14">
                    <c:v>T cells 2</c:v>
                  </c:pt>
                  <c:pt idx="15">
                    <c:v>Tumor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D09-4E15-8D56-0BD8749F5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5539903"/>
        <c:axId val="935541343"/>
      </c:scatterChart>
      <c:valAx>
        <c:axId val="935539903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tx1">
                  <a:lumMod val="15000"/>
                  <a:lumOff val="85000"/>
                  <a:alpha val="98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5541343"/>
        <c:crosses val="autoZero"/>
        <c:crossBetween val="midCat"/>
      </c:valAx>
      <c:valAx>
        <c:axId val="935541343"/>
        <c:scaling>
          <c:orientation val="minMax"/>
        </c:scaling>
        <c:delete val="0"/>
        <c:axPos val="l"/>
        <c:majorGridlines>
          <c:spPr>
            <a:ln w="3175" cap="rnd" cmpd="sng" algn="ctr">
              <a:solidFill>
                <a:schemeClr val="tx1">
                  <a:lumMod val="15000"/>
                  <a:lumOff val="85000"/>
                  <a:alpha val="98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5539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="1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459237</xdr:colOff>
      <xdr:row>20</xdr:row>
      <xdr:rowOff>72596</xdr:rowOff>
    </xdr:from>
    <xdr:to>
      <xdr:col>17</xdr:col>
      <xdr:colOff>129167</xdr:colOff>
      <xdr:row>34</xdr:row>
      <xdr:rowOff>148796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D18910-34B8-797F-585B-D30183B14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F284C-69F0-4B70-A6A8-1C455C855DD2}">
  <dimension ref="A1:M37"/>
  <sheetViews>
    <sheetView tabSelected="1" zoomScale="85" zoomScaleNormal="85" workbookViewId="0">
      <selection activeCell="I1" sqref="I1:M1048576"/>
    </sheetView>
  </sheetViews>
  <sheetFormatPr defaultRowHeight="15" x14ac:dyDescent="0.25"/>
  <cols>
    <col min="9" max="9" width="19" bestFit="1" customWidth="1"/>
    <col min="10" max="10" width="16.5703125" bestFit="1" customWidth="1"/>
    <col min="12" max="12" width="19" bestFit="1" customWidth="1"/>
    <col min="13" max="13" width="16.5703125" bestFit="1" customWidth="1"/>
    <col min="14" max="14" width="19" bestFit="1" customWidth="1"/>
    <col min="15" max="15" width="16.5703125" bestFit="1" customWidth="1"/>
    <col min="16" max="17" width="19" bestFit="1" customWidth="1"/>
    <col min="18" max="18" width="16.5703125" bestFit="1" customWidth="1"/>
  </cols>
  <sheetData>
    <row r="1" spans="1:13" x14ac:dyDescent="0.25">
      <c r="B1" s="2" t="s">
        <v>20</v>
      </c>
      <c r="C1" s="2"/>
      <c r="D1" s="2"/>
      <c r="E1" s="2"/>
      <c r="I1" t="s">
        <v>21</v>
      </c>
      <c r="L1" t="s">
        <v>22</v>
      </c>
    </row>
    <row r="2" spans="1:13" x14ac:dyDescent="0.25">
      <c r="B2" t="s">
        <v>0</v>
      </c>
      <c r="C2" t="s">
        <v>1</v>
      </c>
      <c r="D2" t="s">
        <v>3</v>
      </c>
      <c r="E2" t="s">
        <v>2</v>
      </c>
      <c r="I2" t="s">
        <v>23</v>
      </c>
      <c r="J2" t="s">
        <v>24</v>
      </c>
      <c r="L2" t="s">
        <v>23</v>
      </c>
      <c r="M2" t="s">
        <v>24</v>
      </c>
    </row>
    <row r="3" spans="1:13" x14ac:dyDescent="0.25">
      <c r="A3" t="s">
        <v>4</v>
      </c>
      <c r="B3">
        <v>9.7250799999999997E-4</v>
      </c>
      <c r="C3">
        <v>3.5585970000000001E-3</v>
      </c>
      <c r="D3">
        <v>4.0883599999999999E-4</v>
      </c>
      <c r="E3">
        <v>1.96737E-4</v>
      </c>
      <c r="I3">
        <f>LOG(C3/B3,2)</f>
        <v>1.8715265382980062</v>
      </c>
      <c r="J3">
        <f>LOG(E3/D3,2)</f>
        <v>-1.0552539298027159</v>
      </c>
      <c r="L3">
        <f>C3/B3</f>
        <v>3.6591956055888488</v>
      </c>
      <c r="M3">
        <f>E3/D3</f>
        <v>0.48121251553190031</v>
      </c>
    </row>
    <row r="4" spans="1:13" x14ac:dyDescent="0.25">
      <c r="A4" t="s">
        <v>5</v>
      </c>
      <c r="B4">
        <v>2.9140999999999998E-4</v>
      </c>
      <c r="C4">
        <v>1.447638E-3</v>
      </c>
      <c r="D4">
        <v>4.7480800000000001E-4</v>
      </c>
      <c r="E4" s="1">
        <v>7.4300000000000004E-5</v>
      </c>
      <c r="I4">
        <f>LOG(C4/B4,2)</f>
        <v>2.3125785928081499</v>
      </c>
      <c r="J4">
        <f>LOG(E4/D4,2)</f>
        <v>-2.6759101271553223</v>
      </c>
      <c r="L4">
        <f>C4/B4</f>
        <v>4.967701863354038</v>
      </c>
      <c r="M4">
        <f>E4/D4</f>
        <v>0.15648430523495813</v>
      </c>
    </row>
    <row r="5" spans="1:13" x14ac:dyDescent="0.25">
      <c r="A5" t="s">
        <v>6</v>
      </c>
      <c r="B5">
        <v>1.1917773E-2</v>
      </c>
      <c r="C5">
        <v>2.5712059999999999E-3</v>
      </c>
      <c r="D5">
        <v>8.6238999999999999E-4</v>
      </c>
      <c r="E5">
        <v>1.1441839999999999E-3</v>
      </c>
      <c r="I5">
        <f>LOG(C5/B5,2)</f>
        <v>-2.2125975677277903</v>
      </c>
      <c r="J5">
        <f>LOG(E5/D5,2)</f>
        <v>0.40790672104985243</v>
      </c>
      <c r="L5">
        <f>C5/B5</f>
        <v>0.21574550882954391</v>
      </c>
      <c r="M5">
        <f>E5/D5</f>
        <v>1.3267593548162664</v>
      </c>
    </row>
    <row r="6" spans="1:13" x14ac:dyDescent="0.25">
      <c r="A6" t="s">
        <v>7</v>
      </c>
      <c r="B6">
        <v>1.065645E-3</v>
      </c>
      <c r="C6">
        <v>2.751519E-3</v>
      </c>
      <c r="D6">
        <v>2.5592190000000002E-3</v>
      </c>
      <c r="E6">
        <v>1.208951E-3</v>
      </c>
      <c r="I6">
        <f>LOG(C6/B6,2)</f>
        <v>1.3685013800530068</v>
      </c>
      <c r="J6">
        <f>LOG(E6/D6,2)</f>
        <v>-1.0819478364849333</v>
      </c>
      <c r="L6">
        <f>C6/B6</f>
        <v>2.5820221555959066</v>
      </c>
      <c r="M6">
        <f>E6/D6</f>
        <v>0.47239060041364178</v>
      </c>
    </row>
    <row r="7" spans="1:13" x14ac:dyDescent="0.25">
      <c r="A7" t="s">
        <v>8</v>
      </c>
      <c r="B7">
        <v>1.6259600000000001E-4</v>
      </c>
      <c r="C7">
        <v>8.7775400000000001E-4</v>
      </c>
      <c r="D7">
        <v>4.0147400000000003E-4</v>
      </c>
      <c r="E7" s="1">
        <v>1.6500000000000001E-5</v>
      </c>
      <c r="I7">
        <f>LOG(C7/B7,2)</f>
        <v>2.432524899282138</v>
      </c>
      <c r="J7">
        <f>LOG(E7/D7,2)</f>
        <v>-4.6047686302992386</v>
      </c>
      <c r="L7">
        <f>C7/B7</f>
        <v>5.3983738837363768</v>
      </c>
      <c r="M7">
        <f>E7/D7</f>
        <v>4.1098551836482561E-2</v>
      </c>
    </row>
    <row r="8" spans="1:13" x14ac:dyDescent="0.25">
      <c r="A8" t="s">
        <v>9</v>
      </c>
      <c r="B8">
        <v>3.3582000000000002E-4</v>
      </c>
      <c r="C8">
        <v>6.5616100000000005E-4</v>
      </c>
      <c r="D8">
        <v>3.3415799999999998E-4</v>
      </c>
      <c r="E8" s="1">
        <v>1.88E-5</v>
      </c>
      <c r="I8">
        <f>LOG(C8/B8,2)</f>
        <v>0.96636169390271054</v>
      </c>
      <c r="J8">
        <f>LOG(E8/D8,2)</f>
        <v>-4.1517258468159026</v>
      </c>
      <c r="L8">
        <f>C8/B8</f>
        <v>1.9539068548627241</v>
      </c>
      <c r="M8">
        <f>E8/D8</f>
        <v>5.6260810754194125E-2</v>
      </c>
    </row>
    <row r="9" spans="1:13" x14ac:dyDescent="0.25">
      <c r="A9" t="s">
        <v>10</v>
      </c>
      <c r="B9">
        <v>1.2566859999999999E-3</v>
      </c>
      <c r="C9">
        <v>1.643755E-3</v>
      </c>
      <c r="D9">
        <v>5.8698799999999998E-4</v>
      </c>
      <c r="E9">
        <v>1.8697700000000001E-4</v>
      </c>
      <c r="I9">
        <f>LOG(C9/B9,2)</f>
        <v>0.3873710649138723</v>
      </c>
      <c r="J9">
        <f>LOG(E9/D9,2)</f>
        <v>-1.6504701946952924</v>
      </c>
      <c r="L9">
        <f>C9/B9</f>
        <v>1.3080077282630667</v>
      </c>
      <c r="M9">
        <f>E9/D9</f>
        <v>0.31853632442230506</v>
      </c>
    </row>
    <row r="10" spans="1:13" x14ac:dyDescent="0.25">
      <c r="A10" t="s">
        <v>11</v>
      </c>
      <c r="B10">
        <v>9.4441399999999997E-4</v>
      </c>
      <c r="C10">
        <v>9.9450600000000004E-4</v>
      </c>
      <c r="D10">
        <v>5.5236200000000004E-4</v>
      </c>
      <c r="E10">
        <v>5.4232399999999995E-4</v>
      </c>
      <c r="I10">
        <f>LOG(C10/B10,2)</f>
        <v>7.4560646828396221E-2</v>
      </c>
      <c r="J10">
        <f>LOG(E10/D10,2)</f>
        <v>-2.6459055359836073E-2</v>
      </c>
      <c r="L10">
        <f>C10/B10</f>
        <v>1.0530402980049005</v>
      </c>
      <c r="M10">
        <f>E10/D10</f>
        <v>0.98182713510342845</v>
      </c>
    </row>
    <row r="11" spans="1:13" x14ac:dyDescent="0.25">
      <c r="A11" t="s">
        <v>12</v>
      </c>
      <c r="B11">
        <v>4.6164699999999998E-4</v>
      </c>
      <c r="C11">
        <v>2.41413E-4</v>
      </c>
      <c r="D11">
        <v>2.2665200000000001E-4</v>
      </c>
      <c r="E11">
        <v>2.1828E-4</v>
      </c>
      <c r="I11">
        <f>LOG(C11/B11,2)</f>
        <v>-0.93528674458995031</v>
      </c>
      <c r="J11">
        <f>LOG(E11/D11,2)</f>
        <v>-5.4298942942735802E-2</v>
      </c>
      <c r="L11">
        <f>C11/B11</f>
        <v>0.52293852229084126</v>
      </c>
      <c r="M11">
        <f>E11/D11</f>
        <v>0.96306231579690449</v>
      </c>
    </row>
    <row r="12" spans="1:13" x14ac:dyDescent="0.25">
      <c r="A12" t="s">
        <v>13</v>
      </c>
      <c r="B12">
        <v>8.3808199999999998E-4</v>
      </c>
      <c r="C12">
        <v>4.9799000000000002E-4</v>
      </c>
      <c r="D12">
        <v>2.40707E-4</v>
      </c>
      <c r="E12">
        <v>1.7746999999999999E-4</v>
      </c>
      <c r="I12">
        <f>LOG(C12/B12,2)</f>
        <v>-0.75097463543206644</v>
      </c>
      <c r="J12">
        <f>LOG(E12/D12,2)</f>
        <v>-0.43970292920775428</v>
      </c>
      <c r="L12">
        <f>C12/B12</f>
        <v>0.59420199932703488</v>
      </c>
      <c r="M12">
        <f>E12/D12</f>
        <v>0.73728641044921828</v>
      </c>
    </row>
    <row r="13" spans="1:13" x14ac:dyDescent="0.25">
      <c r="A13" t="s">
        <v>14</v>
      </c>
      <c r="B13">
        <v>1.98366E-4</v>
      </c>
      <c r="C13" s="1">
        <v>2.9899999999999998E-5</v>
      </c>
      <c r="D13">
        <v>2.78015E-4</v>
      </c>
      <c r="E13">
        <v>1.5975399999999999E-4</v>
      </c>
      <c r="I13">
        <f>LOG(C13/B13,2)</f>
        <v>-2.7299473789564961</v>
      </c>
      <c r="J13">
        <f>LOG(E13/D13,2)</f>
        <v>-0.79931066956685948</v>
      </c>
      <c r="L13">
        <f>C13/B13</f>
        <v>0.15073147616022906</v>
      </c>
      <c r="M13">
        <f>E13/D13</f>
        <v>0.57462367138463744</v>
      </c>
    </row>
    <row r="14" spans="1:13" x14ac:dyDescent="0.25">
      <c r="A14" t="s">
        <v>15</v>
      </c>
      <c r="B14">
        <v>1.1607099999999999E-4</v>
      </c>
      <c r="C14">
        <v>3.1079399999999998E-4</v>
      </c>
      <c r="D14" s="1">
        <v>8.7100000000000003E-5</v>
      </c>
      <c r="E14">
        <v>7.5588300000000005E-4</v>
      </c>
      <c r="I14">
        <f>LOG(C14/B14,2)</f>
        <v>1.4209510881341505</v>
      </c>
      <c r="J14">
        <f>LOG(E14/D14,2)</f>
        <v>3.1174183189980966</v>
      </c>
      <c r="L14">
        <f>C14/B14</f>
        <v>2.6776197327497826</v>
      </c>
      <c r="M14">
        <f>E14/D14</f>
        <v>8.6783352468427104</v>
      </c>
    </row>
    <row r="15" spans="1:13" x14ac:dyDescent="0.25">
      <c r="A15" t="s">
        <v>16</v>
      </c>
      <c r="B15">
        <v>1.9693294E-2</v>
      </c>
      <c r="C15">
        <v>1.0742603E-2</v>
      </c>
      <c r="D15">
        <v>3.6500590000000002E-3</v>
      </c>
      <c r="E15">
        <v>2.320272E-3</v>
      </c>
      <c r="I15">
        <f>LOG(C15/B15,2)</f>
        <v>-0.87436083416788168</v>
      </c>
      <c r="J15">
        <f>LOG(E15/D15,2)</f>
        <v>-0.65362584508535304</v>
      </c>
      <c r="L15">
        <f>C15/B15</f>
        <v>0.54549548694088457</v>
      </c>
      <c r="M15">
        <f>E15/D15</f>
        <v>0.63568068351771845</v>
      </c>
    </row>
    <row r="16" spans="1:13" x14ac:dyDescent="0.25">
      <c r="A16" t="s">
        <v>17</v>
      </c>
      <c r="B16">
        <v>2.4640270000000001E-3</v>
      </c>
      <c r="C16">
        <v>4.5957819999999996E-3</v>
      </c>
      <c r="D16">
        <v>1.398835E-3</v>
      </c>
      <c r="E16">
        <v>9.1065500000000001E-4</v>
      </c>
      <c r="I16">
        <f>LOG(C16/B16,2)</f>
        <v>0.89929230095765111</v>
      </c>
      <c r="J16">
        <f>LOG(E16/D16,2)</f>
        <v>-0.61924929877557866</v>
      </c>
      <c r="L16">
        <f>C16/B16</f>
        <v>1.8651508282985534</v>
      </c>
      <c r="M16">
        <f>E16/D16</f>
        <v>0.65100959012320969</v>
      </c>
    </row>
    <row r="17" spans="1:13" x14ac:dyDescent="0.25">
      <c r="A17" t="s">
        <v>18</v>
      </c>
      <c r="B17">
        <v>2.4940969999999998E-3</v>
      </c>
      <c r="C17">
        <v>3.0975019999999998E-3</v>
      </c>
      <c r="D17">
        <v>2.0317159999999998E-3</v>
      </c>
      <c r="E17">
        <v>2.65851E-4</v>
      </c>
      <c r="I17">
        <f>LOG(C17/B17,2)</f>
        <v>0.31258763857681382</v>
      </c>
      <c r="J17">
        <f>LOG(E17/D17,2)</f>
        <v>-2.9340089532574685</v>
      </c>
      <c r="L17">
        <f>C17/B17</f>
        <v>1.241933252796503</v>
      </c>
      <c r="M17">
        <f>E17/D17</f>
        <v>0.13085047319605694</v>
      </c>
    </row>
    <row r="18" spans="1:13" x14ac:dyDescent="0.25">
      <c r="A18" t="s">
        <v>19</v>
      </c>
      <c r="B18">
        <v>5.8186369999999998E-3</v>
      </c>
      <c r="C18">
        <v>2.883881E-3</v>
      </c>
      <c r="D18">
        <v>1.6567599999999999E-4</v>
      </c>
      <c r="E18">
        <v>1.7323800000000001E-4</v>
      </c>
      <c r="I18">
        <f>LOG(C18/B18,2)</f>
        <v>-1.0126696106209905</v>
      </c>
      <c r="J18">
        <f>LOG(E18/D18,2)</f>
        <v>6.4390794601611206E-2</v>
      </c>
      <c r="L18">
        <f>C18/B18</f>
        <v>0.49562827170693069</v>
      </c>
      <c r="M18">
        <f>E18/D18</f>
        <v>1.0456433037977741</v>
      </c>
    </row>
    <row r="21" spans="1:13" x14ac:dyDescent="0.25">
      <c r="I21" t="s">
        <v>23</v>
      </c>
      <c r="J21" t="s">
        <v>24</v>
      </c>
      <c r="L21" t="s">
        <v>23</v>
      </c>
      <c r="M21" t="s">
        <v>24</v>
      </c>
    </row>
    <row r="22" spans="1:13" x14ac:dyDescent="0.25">
      <c r="H22" t="s">
        <v>4</v>
      </c>
      <c r="I22">
        <v>1.8715265382980062</v>
      </c>
      <c r="J22">
        <v>-1.0552539298027159</v>
      </c>
      <c r="L22">
        <v>3.6591956055888488</v>
      </c>
      <c r="M22">
        <v>0.48121251553190031</v>
      </c>
    </row>
    <row r="23" spans="1:13" x14ac:dyDescent="0.25">
      <c r="H23" t="s">
        <v>5</v>
      </c>
      <c r="I23">
        <v>2.3125785928081499</v>
      </c>
      <c r="J23">
        <v>-2.6759101271553223</v>
      </c>
      <c r="L23">
        <v>4.967701863354038</v>
      </c>
      <c r="M23">
        <v>0.15648430523495813</v>
      </c>
    </row>
    <row r="24" spans="1:13" x14ac:dyDescent="0.25">
      <c r="H24" t="s">
        <v>6</v>
      </c>
      <c r="I24">
        <v>-2.2125975677277903</v>
      </c>
      <c r="J24">
        <v>0.40790672104985243</v>
      </c>
      <c r="L24">
        <v>0.21574550882954391</v>
      </c>
      <c r="M24">
        <v>1.3267593548162664</v>
      </c>
    </row>
    <row r="25" spans="1:13" x14ac:dyDescent="0.25">
      <c r="H25" t="s">
        <v>7</v>
      </c>
      <c r="I25">
        <v>1.3685013800530068</v>
      </c>
      <c r="J25">
        <v>-1.0819478364849333</v>
      </c>
      <c r="L25">
        <v>2.5820221555959066</v>
      </c>
      <c r="M25">
        <v>0.47239060041364178</v>
      </c>
    </row>
    <row r="26" spans="1:13" x14ac:dyDescent="0.25">
      <c r="H26" t="s">
        <v>8</v>
      </c>
      <c r="I26">
        <v>2.432524899282138</v>
      </c>
      <c r="J26">
        <v>-4.6047686302992386</v>
      </c>
      <c r="L26">
        <v>5.3983738837363768</v>
      </c>
      <c r="M26">
        <v>4.1098551836482561E-2</v>
      </c>
    </row>
    <row r="27" spans="1:13" x14ac:dyDescent="0.25">
      <c r="H27" t="s">
        <v>9</v>
      </c>
      <c r="I27">
        <v>0.96636169390271054</v>
      </c>
      <c r="J27">
        <v>-4.1517258468159026</v>
      </c>
      <c r="L27">
        <v>1.9539068548627241</v>
      </c>
      <c r="M27">
        <v>5.6260810754194125E-2</v>
      </c>
    </row>
    <row r="28" spans="1:13" x14ac:dyDescent="0.25">
      <c r="H28" t="s">
        <v>10</v>
      </c>
      <c r="I28">
        <v>0.3873710649138723</v>
      </c>
      <c r="J28">
        <v>-1.6504701946952924</v>
      </c>
      <c r="L28">
        <v>1.3080077282630667</v>
      </c>
      <c r="M28">
        <v>0.31853632442230506</v>
      </c>
    </row>
    <row r="29" spans="1:13" x14ac:dyDescent="0.25">
      <c r="H29" t="s">
        <v>11</v>
      </c>
      <c r="I29">
        <v>7.4560646828396221E-2</v>
      </c>
      <c r="J29">
        <v>-2.6459055359836073E-2</v>
      </c>
      <c r="L29">
        <v>1.0530402980049005</v>
      </c>
      <c r="M29">
        <v>0.98182713510342845</v>
      </c>
    </row>
    <row r="30" spans="1:13" x14ac:dyDescent="0.25">
      <c r="H30" t="s">
        <v>12</v>
      </c>
      <c r="I30">
        <v>-0.93528674458995031</v>
      </c>
      <c r="J30">
        <v>-5.4298942942735802E-2</v>
      </c>
      <c r="L30">
        <v>0.52293852229084126</v>
      </c>
      <c r="M30">
        <v>0.96306231579690449</v>
      </c>
    </row>
    <row r="31" spans="1:13" x14ac:dyDescent="0.25">
      <c r="H31" t="s">
        <v>13</v>
      </c>
      <c r="I31">
        <v>-0.75097463543206644</v>
      </c>
      <c r="J31">
        <v>-0.43970292920775428</v>
      </c>
      <c r="L31">
        <v>0.59420199932703488</v>
      </c>
      <c r="M31">
        <v>0.73728641044921828</v>
      </c>
    </row>
    <row r="32" spans="1:13" x14ac:dyDescent="0.25">
      <c r="H32" t="s">
        <v>26</v>
      </c>
      <c r="I32">
        <v>-2.7299473789564961</v>
      </c>
      <c r="J32">
        <v>-0.79931066956685948</v>
      </c>
      <c r="L32">
        <v>0.15073147616022906</v>
      </c>
      <c r="M32">
        <v>0.57462367138463744</v>
      </c>
    </row>
    <row r="33" spans="8:13" x14ac:dyDescent="0.25">
      <c r="H33" t="s">
        <v>25</v>
      </c>
      <c r="I33">
        <v>1.4209510881341505</v>
      </c>
      <c r="J33">
        <v>3.1174183189980966</v>
      </c>
      <c r="L33">
        <v>2.6776197327497826</v>
      </c>
      <c r="M33">
        <v>8.6783352468427104</v>
      </c>
    </row>
    <row r="34" spans="8:13" x14ac:dyDescent="0.25">
      <c r="H34" t="s">
        <v>16</v>
      </c>
      <c r="I34">
        <v>-0.87436083416788168</v>
      </c>
      <c r="J34">
        <v>-0.65362584508535304</v>
      </c>
      <c r="L34">
        <v>0.54549548694088457</v>
      </c>
      <c r="M34">
        <v>0.63568068351771845</v>
      </c>
    </row>
    <row r="35" spans="8:13" x14ac:dyDescent="0.25">
      <c r="H35" t="s">
        <v>27</v>
      </c>
      <c r="I35">
        <v>0.89929230095765111</v>
      </c>
      <c r="J35">
        <v>-0.61924929877557866</v>
      </c>
      <c r="L35">
        <v>1.8651508282985534</v>
      </c>
      <c r="M35">
        <v>0.65100959012320969</v>
      </c>
    </row>
    <row r="36" spans="8:13" x14ac:dyDescent="0.25">
      <c r="H36" t="s">
        <v>18</v>
      </c>
      <c r="I36">
        <v>0.31258763857681382</v>
      </c>
      <c r="J36">
        <v>-2.9340089532574685</v>
      </c>
      <c r="L36">
        <v>1.241933252796503</v>
      </c>
      <c r="M36">
        <v>0.13085047319605694</v>
      </c>
    </row>
    <row r="37" spans="8:13" x14ac:dyDescent="0.25">
      <c r="H37" t="s">
        <v>19</v>
      </c>
      <c r="I37">
        <v>-1.0126696106209905</v>
      </c>
      <c r="J37">
        <v>6.4390794601611206E-2</v>
      </c>
      <c r="L37">
        <v>0.49562827170693069</v>
      </c>
      <c r="M37">
        <v>1.0456433037977741</v>
      </c>
    </row>
  </sheetData>
  <mergeCells count="1">
    <mergeCell ref="B1:E1"/>
  </mergeCells>
  <conditionalFormatting sqref="I22:I3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2:J3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Ezh2_celltype_activity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Plaugher, Daniel R.</cp:lastModifiedBy>
  <dcterms:created xsi:type="dcterms:W3CDTF">2025-12-09T12:33:02Z</dcterms:created>
  <dcterms:modified xsi:type="dcterms:W3CDTF">2025-12-10T21:24:44Z</dcterms:modified>
</cp:coreProperties>
</file>